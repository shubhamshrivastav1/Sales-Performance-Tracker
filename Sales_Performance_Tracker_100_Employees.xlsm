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codeName="ThisWorkbook"/>
  <mc:AlternateContent xmlns:mc="http://schemas.openxmlformats.org/markup-compatibility/2006">
    <mc:Choice Requires="x15">
      <x15ac:absPath xmlns:x15ac="http://schemas.microsoft.com/office/spreadsheetml/2010/11/ac" url="https://d.docs.live.net/3e5bddf678c35e2f/Desktop/"/>
    </mc:Choice>
  </mc:AlternateContent>
  <xr:revisionPtr revIDLastSave="11" documentId="13_ncr:20001_{4FCFB696-9D58-41BE-BE16-0CF9D3063064}" xr6:coauthVersionLast="47" xr6:coauthVersionMax="47" xr10:uidLastSave="{AD0E8563-82DC-4702-82EB-82CD2EDF7429}"/>
  <bookViews>
    <workbookView xWindow="-108" yWindow="-108" windowWidth="23256" windowHeight="12456" xr2:uid="{00000000-000D-0000-FFFF-FFFF00000000}"/>
  </bookViews>
  <sheets>
    <sheet name="DASHBOARD" sheetId="3" r:id="rId1"/>
    <sheet name="ROW DATA" sheetId="1" r:id="rId2"/>
    <sheet name="Read Me" sheetId="2" r:id="rId3"/>
  </sheets>
  <definedNames>
    <definedName name="_xlnm._FilterDatabase" localSheetId="1" hidden="1">'ROW DATA'!$A$1:$L$101</definedName>
    <definedName name="_xlnm.Print_Titles" localSheetId="1">'ROW DATA'!$1:$1</definedName>
    <definedName name="Slicer_Region">#N/A</definedName>
  </definedNames>
  <calcPr calcId="191029"/>
  <pivotCaches>
    <pivotCache cacheId="0" r:id="rId4"/>
  </pivotCaches>
  <extLst>
    <ext xmlns:x14="http://schemas.microsoft.com/office/spreadsheetml/2009/9/main" uri="{BBE1A952-AA13-448e-AADC-164F8A28A991}">
      <x14:slicerCaches>
        <x14:slicerCache r:id="rId5"/>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101" i="1" l="1"/>
  <c r="K101" i="1" s="1"/>
  <c r="L101" i="1" s="1"/>
  <c r="L100" i="1"/>
  <c r="K100" i="1"/>
  <c r="I100" i="1"/>
  <c r="I99" i="1"/>
  <c r="K99" i="1" s="1"/>
  <c r="L99" i="1" s="1"/>
  <c r="I98" i="1"/>
  <c r="K98" i="1" s="1"/>
  <c r="L98" i="1" s="1"/>
  <c r="L97" i="1"/>
  <c r="K97" i="1"/>
  <c r="I97" i="1"/>
  <c r="I96" i="1"/>
  <c r="K96" i="1" s="1"/>
  <c r="L96" i="1" s="1"/>
  <c r="I95" i="1"/>
  <c r="K95" i="1" s="1"/>
  <c r="L95" i="1" s="1"/>
  <c r="I94" i="1"/>
  <c r="K94" i="1" s="1"/>
  <c r="L94" i="1" s="1"/>
  <c r="I93" i="1"/>
  <c r="K93" i="1" s="1"/>
  <c r="L93" i="1" s="1"/>
  <c r="K92" i="1"/>
  <c r="L92" i="1" s="1"/>
  <c r="I92" i="1"/>
  <c r="I91" i="1"/>
  <c r="K91" i="1" s="1"/>
  <c r="L91" i="1" s="1"/>
  <c r="I90" i="1"/>
  <c r="K90" i="1" s="1"/>
  <c r="L90" i="1" s="1"/>
  <c r="L89" i="1"/>
  <c r="K89" i="1"/>
  <c r="I89" i="1"/>
  <c r="I88" i="1"/>
  <c r="K88" i="1" s="1"/>
  <c r="L88" i="1" s="1"/>
  <c r="I87" i="1"/>
  <c r="K87" i="1" s="1"/>
  <c r="L87" i="1" s="1"/>
  <c r="I86" i="1"/>
  <c r="K86" i="1" s="1"/>
  <c r="L86" i="1" s="1"/>
  <c r="I85" i="1"/>
  <c r="K85" i="1" s="1"/>
  <c r="L85" i="1" s="1"/>
  <c r="L84" i="1"/>
  <c r="K84" i="1"/>
  <c r="I84" i="1"/>
  <c r="I83" i="1"/>
  <c r="K83" i="1" s="1"/>
  <c r="L83" i="1" s="1"/>
  <c r="I82" i="1"/>
  <c r="K82" i="1" s="1"/>
  <c r="L82" i="1" s="1"/>
  <c r="L81" i="1"/>
  <c r="K81" i="1"/>
  <c r="I81" i="1"/>
  <c r="I80" i="1"/>
  <c r="K80" i="1" s="1"/>
  <c r="L80" i="1" s="1"/>
  <c r="K79" i="1"/>
  <c r="L79" i="1" s="1"/>
  <c r="I79" i="1"/>
  <c r="I78" i="1"/>
  <c r="K78" i="1" s="1"/>
  <c r="L78" i="1" s="1"/>
  <c r="I77" i="1"/>
  <c r="K77" i="1" s="1"/>
  <c r="L77" i="1" s="1"/>
  <c r="K76" i="1"/>
  <c r="L76" i="1" s="1"/>
  <c r="I76" i="1"/>
  <c r="I75" i="1"/>
  <c r="K75" i="1" s="1"/>
  <c r="L75" i="1" s="1"/>
  <c r="K74" i="1"/>
  <c r="L74" i="1" s="1"/>
  <c r="I74" i="1"/>
  <c r="L73" i="1"/>
  <c r="K73" i="1"/>
  <c r="I73" i="1"/>
  <c r="I72" i="1"/>
  <c r="K72" i="1" s="1"/>
  <c r="L72" i="1" s="1"/>
  <c r="I71" i="1"/>
  <c r="K71" i="1" s="1"/>
  <c r="L71" i="1" s="1"/>
  <c r="I70" i="1"/>
  <c r="K70" i="1" s="1"/>
  <c r="L70" i="1" s="1"/>
  <c r="I69" i="1"/>
  <c r="K69" i="1" s="1"/>
  <c r="L69" i="1" s="1"/>
  <c r="K68" i="1"/>
  <c r="L68" i="1" s="1"/>
  <c r="I68" i="1"/>
  <c r="I67" i="1"/>
  <c r="K67" i="1" s="1"/>
  <c r="L67" i="1" s="1"/>
  <c r="I66" i="1"/>
  <c r="K66" i="1" s="1"/>
  <c r="L66" i="1" s="1"/>
  <c r="L65" i="1"/>
  <c r="K65" i="1"/>
  <c r="I65" i="1"/>
  <c r="I64" i="1"/>
  <c r="K64" i="1" s="1"/>
  <c r="L64" i="1" s="1"/>
  <c r="L63" i="1"/>
  <c r="K63" i="1"/>
  <c r="I63" i="1"/>
  <c r="I62" i="1"/>
  <c r="K62" i="1" s="1"/>
  <c r="L62" i="1" s="1"/>
  <c r="I61" i="1"/>
  <c r="K61" i="1" s="1"/>
  <c r="L61" i="1" s="1"/>
  <c r="K60" i="1"/>
  <c r="L60" i="1" s="1"/>
  <c r="I60" i="1"/>
  <c r="I59" i="1"/>
  <c r="K59" i="1" s="1"/>
  <c r="L59" i="1" s="1"/>
  <c r="I58" i="1"/>
  <c r="K58" i="1" s="1"/>
  <c r="L58" i="1" s="1"/>
  <c r="L57" i="1"/>
  <c r="K57" i="1"/>
  <c r="I57" i="1"/>
  <c r="I56" i="1"/>
  <c r="K56" i="1" s="1"/>
  <c r="L56" i="1" s="1"/>
  <c r="K55" i="1"/>
  <c r="L55" i="1" s="1"/>
  <c r="I55" i="1"/>
  <c r="I54" i="1"/>
  <c r="K54" i="1" s="1"/>
  <c r="L54" i="1" s="1"/>
  <c r="I53" i="1"/>
  <c r="K53" i="1" s="1"/>
  <c r="L53" i="1" s="1"/>
  <c r="K52" i="1"/>
  <c r="L52" i="1" s="1"/>
  <c r="I52" i="1"/>
  <c r="I51" i="1"/>
  <c r="K51" i="1" s="1"/>
  <c r="L51" i="1" s="1"/>
  <c r="K50" i="1"/>
  <c r="L50" i="1" s="1"/>
  <c r="I50" i="1"/>
  <c r="L49" i="1"/>
  <c r="K49" i="1"/>
  <c r="I49" i="1"/>
  <c r="I48" i="1"/>
  <c r="K48" i="1" s="1"/>
  <c r="L48" i="1" s="1"/>
  <c r="I47" i="1"/>
  <c r="K47" i="1" s="1"/>
  <c r="L47" i="1" s="1"/>
  <c r="I46" i="1"/>
  <c r="K46" i="1" s="1"/>
  <c r="L46" i="1" s="1"/>
  <c r="I45" i="1"/>
  <c r="K45" i="1" s="1"/>
  <c r="L45" i="1" s="1"/>
  <c r="L44" i="1"/>
  <c r="K44" i="1"/>
  <c r="I44" i="1"/>
  <c r="I43" i="1"/>
  <c r="K43" i="1" s="1"/>
  <c r="L43" i="1" s="1"/>
  <c r="K42" i="1"/>
  <c r="L42" i="1" s="1"/>
  <c r="I42" i="1"/>
  <c r="L41" i="1"/>
  <c r="K41" i="1"/>
  <c r="I41" i="1"/>
  <c r="I40" i="1"/>
  <c r="K40" i="1" s="1"/>
  <c r="L40" i="1" s="1"/>
  <c r="I39" i="1"/>
  <c r="K39" i="1" s="1"/>
  <c r="L39" i="1" s="1"/>
  <c r="I38" i="1"/>
  <c r="K38" i="1" s="1"/>
  <c r="L38" i="1" s="1"/>
  <c r="I37" i="1"/>
  <c r="K37" i="1" s="1"/>
  <c r="L37" i="1" s="1"/>
  <c r="L36" i="1"/>
  <c r="K36" i="1"/>
  <c r="I36" i="1"/>
  <c r="I35" i="1"/>
  <c r="K35" i="1" s="1"/>
  <c r="L35" i="1" s="1"/>
  <c r="I34" i="1"/>
  <c r="K34" i="1" s="1"/>
  <c r="L34" i="1" s="1"/>
  <c r="L33" i="1"/>
  <c r="K33" i="1"/>
  <c r="I33" i="1"/>
  <c r="I32" i="1"/>
  <c r="K32" i="1" s="1"/>
  <c r="L32" i="1" s="1"/>
  <c r="I31" i="1"/>
  <c r="K31" i="1" s="1"/>
  <c r="L31" i="1" s="1"/>
  <c r="I30" i="1"/>
  <c r="K30" i="1" s="1"/>
  <c r="L30" i="1" s="1"/>
  <c r="I29" i="1"/>
  <c r="K29" i="1" s="1"/>
  <c r="L29" i="1" s="1"/>
  <c r="K28" i="1"/>
  <c r="L28" i="1" s="1"/>
  <c r="I28" i="1"/>
  <c r="I27" i="1"/>
  <c r="K27" i="1" s="1"/>
  <c r="L27" i="1" s="1"/>
  <c r="I26" i="1"/>
  <c r="K26" i="1" s="1"/>
  <c r="L26" i="1" s="1"/>
  <c r="L25" i="1"/>
  <c r="K25" i="1"/>
  <c r="I25" i="1"/>
  <c r="I24" i="1"/>
  <c r="K24" i="1" s="1"/>
  <c r="L24" i="1" s="1"/>
  <c r="I23" i="1"/>
  <c r="K23" i="1" s="1"/>
  <c r="L23" i="1" s="1"/>
  <c r="I22" i="1"/>
  <c r="K22" i="1" s="1"/>
  <c r="L22" i="1" s="1"/>
  <c r="I21" i="1"/>
  <c r="K21" i="1" s="1"/>
  <c r="L21" i="1" s="1"/>
  <c r="L20" i="1"/>
  <c r="K20" i="1"/>
  <c r="I20" i="1"/>
  <c r="I19" i="1"/>
  <c r="K19" i="1" s="1"/>
  <c r="L19" i="1" s="1"/>
  <c r="I18" i="1"/>
  <c r="K18" i="1" s="1"/>
  <c r="L18" i="1" s="1"/>
  <c r="L17" i="1"/>
  <c r="K17" i="1"/>
  <c r="I17" i="1"/>
  <c r="I16" i="1"/>
  <c r="K16" i="1" s="1"/>
  <c r="L16" i="1" s="1"/>
  <c r="I15" i="1"/>
  <c r="K15" i="1" s="1"/>
  <c r="L15" i="1" s="1"/>
  <c r="I14" i="1"/>
  <c r="K14" i="1" s="1"/>
  <c r="L14" i="1" s="1"/>
  <c r="I13" i="1"/>
  <c r="K13" i="1" s="1"/>
  <c r="L13" i="1" s="1"/>
  <c r="L12" i="1"/>
  <c r="K12" i="1"/>
  <c r="I12" i="1"/>
  <c r="I11" i="1"/>
  <c r="K11" i="1" s="1"/>
  <c r="L11" i="1" s="1"/>
  <c r="I10" i="1"/>
  <c r="K10" i="1" s="1"/>
  <c r="L10" i="1" s="1"/>
  <c r="L9" i="1"/>
  <c r="K9" i="1"/>
  <c r="I9" i="1"/>
  <c r="I8" i="1"/>
  <c r="K8" i="1" s="1"/>
  <c r="L8" i="1" s="1"/>
  <c r="K7" i="1"/>
  <c r="L7" i="1" s="1"/>
  <c r="I7" i="1"/>
  <c r="I6" i="1"/>
  <c r="K6" i="1" s="1"/>
  <c r="L6" i="1" s="1"/>
  <c r="I5" i="1"/>
  <c r="K5" i="1" s="1"/>
  <c r="L5" i="1" s="1"/>
  <c r="K4" i="1"/>
  <c r="L4" i="1" s="1"/>
  <c r="I4" i="1"/>
  <c r="I3" i="1"/>
  <c r="K3" i="1" s="1"/>
  <c r="L3" i="1" s="1"/>
  <c r="K2" i="1"/>
  <c r="L2" i="1" s="1"/>
  <c r="I2" i="1"/>
</calcChain>
</file>

<file path=xl/sharedStrings.xml><?xml version="1.0" encoding="utf-8"?>
<sst xmlns="http://schemas.openxmlformats.org/spreadsheetml/2006/main" count="354" uniqueCount="234">
  <si>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</si>
  <si>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</si>
  <si>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</si>
  <si>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</si>
  <si>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</si>
  <si>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</si>
  <si>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</si>
  <si>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</si>
  <si>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</si>
  <si>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</si>
  <si>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</si>
  <si>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</si>
  <si>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</si>
  <si>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</si>
  <si>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</si>
  <si>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</si>
  <si>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</si>
  <si>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</si>
  <si>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</si>
  <si>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</si>
  <si>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</si>
  <si>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</si>
  <si>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</si>
  <si>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</si>
  <si>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</si>
  <si>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</si>
  <si>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</si>
  <si>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</si>
  <si>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</si>
  <si>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</si>
  <si>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</si>
  <si>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</si>
  <si>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</si>
  <si>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</si>
  <si>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</si>
  <si>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</si>
  <si>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</si>
  <si>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</si>
  <si>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</si>
  <si>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</si>
  <si>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</si>
  <si>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</si>
  <si>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</si>
  <si>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</si>
  <si>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</si>
  <si>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</si>
  <si>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</si>
  <si>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</si>
  <si>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</si>
  <si>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</si>
  <si>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</si>
  <si>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</si>
  <si>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</si>
  <si>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</si>
  <si>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</si>
  <si>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</si>
  <si>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</si>
  <si>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</si>
  <si>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</si>
  <si>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</si>
  <si>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</si>
  <si>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</si>
  <si>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</si>
  <si>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Sushma Kulkarni</t>
  </si>
  <si>
    <t>Mum-TCL023</t>
  </si>
  <si>
    <t>Syed Verma</t>
  </si>
  <si>
    <t>Mum-TCL024</t>
  </si>
  <si>
    <t>Sanjay Thakur</t>
  </si>
  <si>
    <t>Mum-TCL025</t>
  </si>
  <si>
    <t>Anjali Mehta</t>
  </si>
  <si>
    <t>Mum-TCL026</t>
  </si>
  <si>
    <t>Sonaram Pawar</t>
  </si>
  <si>
    <t>Mum-TCL027</t>
  </si>
  <si>
    <t>Rahul Sohail</t>
  </si>
  <si>
    <t>Mum-TCL028</t>
  </si>
  <si>
    <t>Manoj Chawla</t>
  </si>
  <si>
    <t>Mum-TCL029</t>
  </si>
  <si>
    <t>Sunita Khandelwal</t>
  </si>
  <si>
    <t>Mum-TCL030</t>
  </si>
  <si>
    <t>Nikhil Qureshi</t>
  </si>
  <si>
    <t>Mum-TCL031</t>
  </si>
  <si>
    <t>Varun Rathore</t>
  </si>
  <si>
    <t>Mum-TCL032</t>
  </si>
  <si>
    <t>Sunil Kale</t>
  </si>
  <si>
    <t>Mum-TCL033</t>
  </si>
  <si>
    <t>Swarnlata Yadav</t>
  </si>
  <si>
    <t>Mum-TCL034</t>
  </si>
  <si>
    <t>Syed Madnani</t>
  </si>
  <si>
    <t>Mum-TCL035</t>
  </si>
  <si>
    <t>Amit Yadav</t>
  </si>
  <si>
    <t>Mum-TCL036</t>
  </si>
  <si>
    <t>Sudhir Joshi</t>
  </si>
  <si>
    <t>Mum-TCL037</t>
  </si>
  <si>
    <t>Riya Madnani</t>
  </si>
  <si>
    <t>Mum-TCL038</t>
  </si>
  <si>
    <t>Rohit Khan</t>
  </si>
  <si>
    <t>Mum-TCL039</t>
  </si>
  <si>
    <t>Surendra Chawla</t>
  </si>
  <si>
    <t>Mum-TCL040</t>
  </si>
  <si>
    <t>Kavita Borse</t>
  </si>
  <si>
    <t>Mum-TCL041</t>
  </si>
  <si>
    <t>Sunil Munda</t>
  </si>
  <si>
    <t>Mum-TCL042</t>
  </si>
  <si>
    <t>Manoj Borse</t>
  </si>
  <si>
    <t>Mum-TCL043</t>
  </si>
  <si>
    <t>Aditya Nair</t>
  </si>
  <si>
    <t>Mum-TCL044</t>
  </si>
  <si>
    <t>Kavita Singh</t>
  </si>
  <si>
    <t>Mum-TCL045</t>
  </si>
  <si>
    <t>Rahul Borse</t>
  </si>
  <si>
    <t>Mum-TCL046</t>
  </si>
  <si>
    <t>Kavita Sohail</t>
  </si>
  <si>
    <t>Mum-TCL047</t>
  </si>
  <si>
    <t>Aditya Kulkarni</t>
  </si>
  <si>
    <t>Mum-TCL048</t>
  </si>
  <si>
    <t>Syed Singh</t>
  </si>
  <si>
    <t>Mum-TCL049</t>
  </si>
  <si>
    <t>Asha Mehta</t>
  </si>
  <si>
    <t>Mum-TCL050</t>
  </si>
  <si>
    <t>Sneh Chawla</t>
  </si>
  <si>
    <t>Mum-TCL051</t>
  </si>
  <si>
    <t>Tanuja Jadhav</t>
  </si>
  <si>
    <t>Mum-TCL052</t>
  </si>
  <si>
    <t>Sonaram Kale</t>
  </si>
  <si>
    <t>Mum-TCL053</t>
  </si>
  <si>
    <t>Riya Sohail</t>
  </si>
  <si>
    <t>Mum-TCL054</t>
  </si>
  <si>
    <t>Meera Rathore</t>
  </si>
  <si>
    <t>Mum-TCL055</t>
  </si>
  <si>
    <t>Meera Khan</t>
  </si>
  <si>
    <t>Mum-TCL056</t>
  </si>
  <si>
    <t>Sonaram Roy</t>
  </si>
  <si>
    <t>Mum-TCL057</t>
  </si>
  <si>
    <t>Pooja Verma</t>
  </si>
  <si>
    <t>Mum-TCL058</t>
  </si>
  <si>
    <t>Isha Verma</t>
  </si>
  <si>
    <t>Mum-TCL059</t>
  </si>
  <si>
    <t>Sneha Patil</t>
  </si>
  <si>
    <t>Mum-TCL060</t>
  </si>
  <si>
    <t>Amit Qureshi</t>
  </si>
  <si>
    <t>Mum-TCL061</t>
  </si>
  <si>
    <t>Deepak Shah</t>
  </si>
  <si>
    <t>Mum-TCL062</t>
  </si>
  <si>
    <t>Varun Sharma</t>
  </si>
  <si>
    <t>Mum-TCL063</t>
  </si>
  <si>
    <t>Sudama Thakur</t>
  </si>
  <si>
    <t>Mum-TCL064</t>
  </si>
  <si>
    <t>Amit Borse</t>
  </si>
  <si>
    <t>Mum-TCL065</t>
  </si>
  <si>
    <t>Raj Kale</t>
  </si>
  <si>
    <t>Mum-TCL066</t>
  </si>
  <si>
    <t>Asha Sohail</t>
  </si>
  <si>
    <t>Mum-TCL067</t>
  </si>
  <si>
    <t>Shyamal Khan</t>
  </si>
  <si>
    <t>Mum-TCL068</t>
  </si>
  <si>
    <t>Deepak Joshi</t>
  </si>
  <si>
    <t>Mum-TCL069</t>
  </si>
  <si>
    <t>Kavita Rathore</t>
  </si>
  <si>
    <t>Mum-TCL070</t>
  </si>
  <si>
    <t>Sudhir Das</t>
  </si>
  <si>
    <t>Mum-TCL071</t>
  </si>
  <si>
    <t>Deepak Borse</t>
  </si>
  <si>
    <t>Mum-TCL072</t>
  </si>
  <si>
    <t>Pooja Yadav</t>
  </si>
  <si>
    <t>Mum-TCL073</t>
  </si>
  <si>
    <t>Sunil Mehta</t>
  </si>
  <si>
    <t>Mum-TCL074</t>
  </si>
  <si>
    <t>Amit Sharma</t>
  </si>
  <si>
    <t>Mum-TCL075</t>
  </si>
  <si>
    <t>Sudhir Shah</t>
  </si>
  <si>
    <t>Mum-TCL076</t>
  </si>
  <si>
    <t>Vikram Sharma</t>
  </si>
  <si>
    <t>Mum-TCL077</t>
  </si>
  <si>
    <t>Anjali Kumar</t>
  </si>
  <si>
    <t>Mum-TCL078</t>
  </si>
  <si>
    <t>Riya Yadav</t>
  </si>
  <si>
    <t>Mum-TCL079</t>
  </si>
  <si>
    <t>Sudhir Qureshi</t>
  </si>
  <si>
    <t>Mum-TCL080</t>
  </si>
  <si>
    <t>Arvind Mehta</t>
  </si>
  <si>
    <t>Mum-TCL081</t>
  </si>
  <si>
    <t>Vikram Borse</t>
  </si>
  <si>
    <t>Mum-TCL082</t>
  </si>
  <si>
    <t>Varun Munda</t>
  </si>
  <si>
    <t>Mum-TCL083</t>
  </si>
  <si>
    <t>Amit Kale</t>
  </si>
  <si>
    <t>Mum-TCL084</t>
  </si>
  <si>
    <t>Asha Rathore</t>
  </si>
  <si>
    <t>Mum-TCL085</t>
  </si>
  <si>
    <t>Simran Mishra</t>
  </si>
  <si>
    <t>Mum-TCL086</t>
  </si>
  <si>
    <t>Kavita Kulkarni</t>
  </si>
  <si>
    <t>Mum-TCL087</t>
  </si>
  <si>
    <t>Swarnlata Munda</t>
  </si>
  <si>
    <t>Mum-TCL088</t>
  </si>
  <si>
    <t>Sneh Khandelwal</t>
  </si>
  <si>
    <t>Mum-TCL089</t>
  </si>
  <si>
    <t>Anjali Qureshi</t>
  </si>
  <si>
    <t>Mum-TCL090</t>
  </si>
  <si>
    <t>Kavita Malakar</t>
  </si>
  <si>
    <t>Mum-TCL091</t>
  </si>
  <si>
    <t>Simran Shah</t>
  </si>
  <si>
    <t>Mum-TCL092</t>
  </si>
  <si>
    <t>Neha Kulkarni</t>
  </si>
  <si>
    <t>Mum-TCL093</t>
  </si>
  <si>
    <t>Aditya Qureshi</t>
  </si>
  <si>
    <t>Mum-TCL094</t>
  </si>
  <si>
    <t>Rohit Nair</t>
  </si>
  <si>
    <t>Mum-TCL095</t>
  </si>
  <si>
    <t>Kavita Patil</t>
  </si>
  <si>
    <t>Mum-TCL096</t>
  </si>
  <si>
    <t>Kavita Sharma</t>
  </si>
  <si>
    <t>Mum-TCL097</t>
  </si>
  <si>
    <t>Simran Kumar</t>
  </si>
  <si>
    <t>Mum-TCL098</t>
  </si>
  <si>
    <t>Manoj Malakar</t>
  </si>
  <si>
    <t>Mum-TCL099</t>
  </si>
  <si>
    <t>Simran Rathore</t>
  </si>
  <si>
    <t>Mum-TCL100</t>
  </si>
  <si>
    <t>Karan Roy</t>
  </si>
  <si>
    <t>SALES PERFORMANCE TRACKER — 100 EMPLOYEES</t>
  </si>
  <si>
    <t>100 sample employee records with automatic sales and target formulas.</t>
  </si>
  <si>
    <t>Daily sales</t>
  </si>
  <si>
    <t>Day1–Day5 values are sample data; replace them with actual sales.</t>
  </si>
  <si>
    <t>Automatically sums Day1 through Day5.</t>
  </si>
  <si>
    <t>Default target is 500 for each employee; edit as needed.</t>
  </si>
  <si>
    <t>Total Sales divided by Target.</t>
  </si>
  <si>
    <t>100% minus Target Hit %.</t>
  </si>
  <si>
    <t>Filtering</t>
  </si>
  <si>
    <t>Use the header filter arrows to sort/filter by region or performance.</t>
  </si>
  <si>
    <t>Row Labels</t>
  </si>
  <si>
    <t xml:space="preserve">Total Sales </t>
  </si>
  <si>
    <t>Target Hit % wise</t>
  </si>
  <si>
    <t>Away From Target %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</si>
</sst>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9" x14ac:knownFonts="1">
    <font>
      <sz val="11"/>
      <color theme="1"/>
      <name val="Calibri"/>
      <family val="2"/>
      <scheme val="minor"/>
    </font>
    <font>
      <b/>
      <sz val="11"/>
      <color rgb="FFFFFFFF"/>
      <name val="Aptos Display"/>
    </font>
    <font>
      <sz val="10"/>
      <color rgb="FF243746"/>
      <name val="Aptos"/>
    </font>
    <font>
      <b/>
      <sz val="11"/>
      <color rgb="FF1F4E78"/>
      <name val="Calibri"/>
    </font>
    <font>
      <b/>
      <sz val="11"/>
      <color rgb="FF008000"/>
      <name val="Calibri"/>
    </font>
    <font>
      <sz val="11"/>
      <color rgb="FFC00000"/>
      <name val="Calibri"/>
    </font>
    <font>
      <b/>
      <sz val="18"/>
      <color rgb="FFFFFFFF"/>
      <name val="Aptos Display"/>
    </font>
    <font>
      <i/>
      <sz val="11"/>
      <color rgb="FF526575"/>
      <name val="Calibri"/>
    </font>
    <font>
      <sz val="8"/>
      <color rgb="FF000000"/>
      <name val="Segoe UI"/>
      <family val="2"/>
    </font>
  </fonts>
  <fills count="6">
    <fill>
      <patternFill patternType="none"/>
    </fill>
    <fill>
      <patternFill patternType="gray125"/>
    </fill>
    <fill>
      <patternFill patternType="solid">
        <fgColor rgb="FF17365D"/>
      </patternFill>
    </fill>
    <fill>
      <patternFill patternType="solid">
        <fgColor rgb="FFF3F8FC"/>
      </patternFill>
    </fill>
    <fill>
      <patternFill patternType="solid">
        <fgColor rgb="FFFFF2CC"/>
      </patternFill>
    </fill>
    <fill>
      <patternFill patternType="solid">
        <fgColor theme="0" tint="-4.9989318521683403E-2"/>
        <bgColor indexed="64"/>
      </patternFill>
    </fill>
  </fills>
  <borders count="3">
    <border>
      <left/>
      <right/>
      <top/>
      <bottom/>
      <diagonal/>
    </border>
    <border>
      <left/>
      <right/>
      <top/>
      <bottom style="medium">
        <color rgb="FF00A6A6"/>
      </bottom>
      <diagonal/>
    </border>
    <border>
      <left/>
      <right/>
      <top/>
      <bottom style="hair">
        <color rgb="FFD8E2EA"/>
      </bottom>
      <diagonal/>
    </border>
  </borders>
  <cellStyleXfs count="1">
    <xf numFmtId="0" fontId="0" fillId="0" borderId="0"/>
  </cellStyleXfs>
  <cellXfs count="26">
    <xf numFmtId="0" fontId="0" fillId="0" borderId="0" xfId="0"/>
    <xf numFmtId="0" fontId="1" fillId="2" borderId="1" xfId="0" applyFont="1" applyFill="1" applyBorder="1" applyAlignment="1">
      <alignment horizontal="center" vertical="center" wrapText="1"/>
    </xf>
    <xf numFmtId="0" fontId="2" fillId="3" borderId="2" xfId="0" applyFont="1" applyFill="1" applyBorder="1" applyAlignment="1">
      <alignment horizontal="left" vertical="center"/>
    </xf>
    <xf numFmtId="0" fontId="2" fillId="4" borderId="2" xfId="0" applyFont="1" applyFill="1" applyBorder="1" applyAlignment="1">
      <alignment horizontal="center" vertical="center"/>
    </xf>
    <xf numFmtId="3" fontId="3" fillId="3" borderId="2" xfId="0" applyNumberFormat="1" applyFont="1" applyFill="1" applyBorder="1" applyAlignment="1">
      <alignment horizontal="center" vertical="center"/>
    </xf>
    <xf numFmtId="3" fontId="2" fillId="3" borderId="2" xfId="0" applyNumberFormat="1" applyFont="1" applyFill="1" applyBorder="1" applyAlignment="1">
      <alignment horizontal="center" vertical="center"/>
    </xf>
    <xf numFmtId="10" fontId="4" fillId="3" borderId="2" xfId="0" applyNumberFormat="1" applyFont="1" applyFill="1" applyBorder="1" applyAlignment="1">
      <alignment horizontal="center" vertical="center"/>
    </xf>
    <xf numFmtId="10" fontId="5" fillId="3" borderId="2" xfId="0" applyNumberFormat="1" applyFont="1" applyFill="1" applyBorder="1" applyAlignment="1">
      <alignment horizontal="center" vertical="center"/>
    </xf>
    <xf numFmtId="0" fontId="2" fillId="0" borderId="2" xfId="0" applyFont="1" applyBorder="1" applyAlignment="1">
      <alignment horizontal="left" vertical="center"/>
    </xf>
    <xf numFmtId="3" fontId="3" fillId="0" borderId="2" xfId="0" applyNumberFormat="1" applyFont="1" applyBorder="1" applyAlignment="1">
      <alignment horizontal="center" vertical="center"/>
    </xf>
    <xf numFmtId="3" fontId="2" fillId="0" borderId="2" xfId="0" applyNumberFormat="1" applyFont="1" applyBorder="1" applyAlignment="1">
      <alignment horizontal="center" vertical="center"/>
    </xf>
    <xf numFmtId="10" fontId="4" fillId="0" borderId="2" xfId="0" applyNumberFormat="1" applyFont="1" applyBorder="1" applyAlignment="1">
      <alignment horizontal="center" vertical="center"/>
    </xf>
    <xf numFmtId="10" fontId="5" fillId="0" borderId="2" xfId="0" applyNumberFormat="1" applyFont="1" applyBorder="1" applyAlignment="1">
      <alignment horizontal="center" vertical="center"/>
    </xf>
    <xf numFmtId="0" fontId="3" fillId="3" borderId="0" xfId="0" applyFont="1" applyFill="1"/>
    <xf numFmtId="0" fontId="3" fillId="0" borderId="0" xfId="0" applyFont="1"/>
    <xf numFmtId="0" fontId="0" fillId="0" borderId="0" xfId="0" pivotButton="1"/>
    <xf numFmtId="0" fontId="0" fillId="0" borderId="0" xfId="0" applyAlignment="1">
      <alignment horizontal="left"/>
    </xf>
    <xf numFmtId="3" fontId="0" fillId="0" borderId="0" xfId="0" applyNumberFormat="1"/>
    <xf numFmtId="10" fontId="0" fillId="0" borderId="0" xfId="0" applyNumberFormat="1"/>
    <xf numFmtId="0" fontId="0" fillId="5" borderId="0" xfId="0" applyFill="1"/>
    <xf numFmtId="0" fontId="6" fillId="2" borderId="0" xfId="0" applyFont="1" applyFill="1"/>
    <xf numFmtId="0" fontId="0" fillId="0" borderId="0" xfId="0"/>
    <xf numFmtId="0" fontId="0" fillId="0" borderId="0" xfId="0" applyAlignment="1">
      <alignment vertical="center" wrapText="1"/>
    </xf>
    <xf numFmtId="0" fontId="0" fillId="3" borderId="0" xfId="0" applyFill="1" applyAlignment="1">
      <alignment vertical="center" wrapText="1"/>
    </xf>
    <xf numFmtId="0" fontId="0" fillId="3" borderId="0" xfId="0" applyFill="1"/>
    <xf numFmtId="0" fontId="7" fillId="0" borderId="0" xfId="0" applyFont="1"/>
  </cellXfs>
  <cellStyles count="1">
    <cellStyle name="Normal" xfId="0" builtinId="0"/>
  </cellStyles>
  <dxfs count="3">
    <dxf>
      <fill>
        <patternFill patternType="solid">
          <fgColor rgb="FFF4CCCC"/>
        </patternFill>
      </fill>
    </dxf>
    <dxf>
      <fill>
        <patternFill patternType="solid">
          <fgColor rgb="FFC6E0B4"/>
        </patternFill>
      </fill>
    </dxf>
    <dxf>
      <fill>
        <patternFill>
          <bgColor theme="1" tint="0.34998626667073579"/>
        </patternFill>
      </fill>
    </dxf>
  </dxfs>
  <tableStyles count="1" defaultTableStyle="TableStyleMedium9" defaultPivotStyle="PivotStyleLight16">
    <tableStyle name="Slicer Style 1" pivot="0" table="0" count="5" xr9:uid="{D7223225-7BC8-4080-956F-7EE77F719F14}">
      <tableStyleElement type="wholeTable" dxfId="2"/>
    </tableStyle>
  </tableStyles>
  <extLst>
    <ext xmlns:x14="http://schemas.microsoft.com/office/spreadsheetml/2009/9/main" uri="{46F421CA-312F-682f-3DD2-61675219B42D}">
      <x14:dxfs count="4">
        <dxf>
          <fill>
            <patternFill>
              <bgColor theme="9" tint="0.39994506668294322"/>
            </patternFill>
          </fill>
        </dxf>
        <dxf>
          <fill>
            <patternFill>
              <bgColor theme="5" tint="0.79998168889431442"/>
            </patternFill>
          </fill>
        </dxf>
        <dxf>
          <fill>
            <patternFill>
              <bgColor rgb="FFFFFF00"/>
            </patternFill>
          </fill>
        </dxf>
        <dxf>
          <fill>
            <patternFill>
              <bgColor theme="6" tint="0.39994506668294322"/>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microsoft.com/office/2007/relationships/slicerCache" Target="slicerCaches/slicerCache1.xml"/><Relationship Id="rId10" Type="http://schemas.microsoft.com/office/2006/relationships/vbaProject" Target="vbaProject.bin"/><Relationship Id="rId4" Type="http://schemas.openxmlformats.org/officeDocument/2006/relationships/pivotCacheDefinition" Target="pivotCache/pivotCacheDefinition1.xml"/><Relationship Id="rId9"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[Sales_Performance_Tracker_100_Employees.xlsm]DASHBOARD!PivotTable1</c:name>
    <c:fmtId val="0"/>
  </c:pivotSource>
  <c:chart>
    <c:autoTitleDeleted val="1"/>
    <c:pivotFmts>
      <c:pivotFmt>
        <c:idx val="0"/>
        <c:spPr>
          <a:solidFill>
            <a:schemeClr val="accent1"/>
          </a:solidFill>
          <a:ln>
            <a:noFill/>
          </a:ln>
          <a:effectLst/>
        </c:spPr>
        <c:marker>
          <c:symbol val="none"/>
        </c:marker>
        <c:dLbl>
          <c:idx val="0"/>
          <c:spPr>
            <a:solidFill>
              <a:srgbClr val="FFFF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solidFill>
                <a:srgbClr val="FFFF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Amit Borse</c:v>
                </c:pt>
                <c:pt idx="1">
                  <c:v>Arvind Sharma</c:v>
                </c:pt>
                <c:pt idx="2">
                  <c:v>Deepak Shah</c:v>
                </c:pt>
                <c:pt idx="3">
                  <c:v>Isha Verma</c:v>
                </c:pt>
                <c:pt idx="4">
                  <c:v>Kavita Sohail</c:v>
                </c:pt>
              </c:strCache>
            </c:strRef>
          </c:cat>
          <c:val>
            <c:numRef>
              <c:f>DASHBOARD!$B$4:$B$8</c:f>
              <c:numCache>
                <c:formatCode>#,##0</c:formatCode>
                <c:ptCount val="5"/>
                <c:pt idx="0">
                  <c:v>321</c:v>
                </c:pt>
                <c:pt idx="1">
                  <c:v>379</c:v>
                </c:pt>
                <c:pt idx="2">
                  <c:v>386</c:v>
                </c:pt>
                <c:pt idx="3">
                  <c:v>368</c:v>
                </c:pt>
                <c:pt idx="4">
                  <c:v>352</c:v>
                </c:pt>
              </c:numCache>
            </c:numRef>
          </c:val>
          <c:extLst>
            <c:ext xmlns:c16="http://schemas.microsoft.com/office/drawing/2014/chart" uri="{C3380CC4-5D6E-409C-BE32-E72D297353CC}">
              <c16:uniqueId val="{00000000-6DE3-4137-8721-9C155ACE76F9}"/>
            </c:ext>
          </c:extLst>
        </c:ser>
        <c:dLbls>
          <c:showLegendKey val="0"/>
          <c:showVal val="0"/>
          <c:showCatName val="0"/>
          <c:showSerName val="0"/>
          <c:showPercent val="0"/>
          <c:showBubbleSize val="0"/>
        </c:dLbls>
        <c:gapWidth val="182"/>
        <c:axId val="1858994720"/>
        <c:axId val="1942080112"/>
      </c:barChart>
      <c:catAx>
        <c:axId val="185899472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42080112"/>
        <c:crosses val="autoZero"/>
        <c:auto val="1"/>
        <c:lblAlgn val="ctr"/>
        <c:lblOffset val="100"/>
        <c:noMultiLvlLbl val="0"/>
      </c:catAx>
      <c:valAx>
        <c:axId val="1942080112"/>
        <c:scaling>
          <c:orientation val="minMax"/>
        </c:scaling>
        <c:delete val="1"/>
        <c:axPos val="b"/>
        <c:numFmt formatCode="#,##0" sourceLinked="1"/>
        <c:majorTickMark val="none"/>
        <c:minorTickMark val="none"/>
        <c:tickLblPos val="nextTo"/>
        <c:crossAx val="185899472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[Sales_Performance_Tracker_100_Employees.xlsm]DASHBOARD!PivotTable3</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DASHBOARD!$H$3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AB38-435C-90FE-5B745712D0B4}"/>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AB38-435C-90FE-5B745712D0B4}"/>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AB38-435C-90FE-5B745712D0B4}"/>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AB38-435C-90FE-5B745712D0B4}"/>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AB38-435C-90FE-5B745712D0B4}"/>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DASHBOARD!$G$4:$G$8</c:f>
              <c:strCache>
                <c:ptCount val="5"/>
                <c:pt idx="0">
                  <c:v>Amit Borse</c:v>
                </c:pt>
                <c:pt idx="1">
                  <c:v>Arvind Sharma</c:v>
                </c:pt>
                <c:pt idx="2">
                  <c:v>Deepak Shah</c:v>
                </c:pt>
                <c:pt idx="3">
                  <c:v>Isha Verma</c:v>
                </c:pt>
                <c:pt idx="4">
                  <c:v>Kavita Sohail</c:v>
                </c:pt>
              </c:strCache>
            </c:strRef>
          </c:cat>
          <c:val>
            <c:numRef>
              <c:f>DASHBOARD!$H$4:$H$8</c:f>
              <c:numCache>
                <c:formatCode>0.00%</c:formatCode>
                <c:ptCount val="5"/>
                <c:pt idx="0">
                  <c:v>0.64200000000000002</c:v>
                </c:pt>
                <c:pt idx="1">
                  <c:v>0.75800000000000001</c:v>
                </c:pt>
                <c:pt idx="2">
                  <c:v>0.77200000000000002</c:v>
                </c:pt>
                <c:pt idx="3">
                  <c:v>0.73599999999999999</c:v>
                </c:pt>
                <c:pt idx="4">
                  <c:v>0.70399999999999996</c:v>
                </c:pt>
              </c:numCache>
            </c:numRef>
          </c:val>
          <c:extLst>
            <c:ext xmlns:c16="http://schemas.microsoft.com/office/drawing/2014/chart" uri="{C3380CC4-5D6E-409C-BE32-E72D297353CC}">
              <c16:uniqueId val="{00000000-AE7E-44F9-8AD9-4AC7E74D18CA}"/>
            </c:ext>
          </c:extLst>
        </c:ser>
        <c:dLbls>
          <c:dLblPos val="ctr"/>
          <c:showLegendKey val="0"/>
          <c:showVal val="0"/>
          <c:showCatName val="0"/>
          <c:showSerName val="0"/>
          <c:showPercent val="1"/>
          <c:showBubbleSize val="0"/>
          <c:showLeaderLines val="1"/>
        </c:dLbls>
        <c:firstSliceAng val="0"/>
      </c:pieChart>
      <c:spPr>
        <a:solidFill>
          <a:schemeClr val="bg1"/>
        </a:solid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[Sales_Performance_Tracker_100_Employees.xlsm]DASHBOARD!PivotTable4</c:name>
    <c:fmtId val="0"/>
  </c:pivotSource>
  <c:chart>
    <c:autoTitleDeleted val="1"/>
    <c:pivotFmts>
      <c:pivotFmt>
        <c:idx val="0"/>
        <c:spPr>
          <a:ln w="28575" cap="rnd">
            <a:solidFill>
              <a:schemeClr val="accent1"/>
            </a:solidFill>
            <a:round/>
          </a:ln>
          <a:effectLst/>
        </c:spPr>
        <c:marker>
          <c:symbol val="none"/>
        </c:marker>
        <c:dLbl>
          <c:idx val="0"/>
          <c:spPr>
            <a:solidFill>
              <a:srgbClr val="FFFF00"/>
            </a:solidFill>
            <a:ln>
              <a:noFill/>
            </a:ln>
            <a:effectLst/>
          </c:spPr>
          <c:txPr>
            <a:bodyPr rot="0" spcFirstLastPara="1" vertOverflow="ellipsis" vert="horz" wrap="square" lIns="38100" tIns="19050" rIns="38100" bIns="19050" anchor="ctr" anchorCtr="1">
              <a:spAutoFit/>
            </a:bodyPr>
            <a:lstStyle/>
            <a:p>
              <a:pPr>
                <a:defRPr sz="6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7258881244000898E-2"/>
          <c:y val="0.1648813843410587"/>
          <c:w val="0.91277158001919689"/>
          <c:h val="0.66521513148204769"/>
        </c:manualLayout>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solidFill>
                <a:srgbClr val="FFFF00"/>
              </a:solidFill>
              <a:ln>
                <a:noFill/>
              </a:ln>
              <a:effectLst/>
            </c:spPr>
            <c:txPr>
              <a:bodyPr rot="0" spcFirstLastPara="1" vertOverflow="ellipsis" vert="horz" wrap="square" lIns="38100" tIns="19050" rIns="38100" bIns="19050" anchor="ctr" anchorCtr="1">
                <a:spAutoFit/>
              </a:bodyPr>
              <a:lstStyle/>
              <a:p>
                <a:pPr>
                  <a:defRPr sz="6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Kavita Malakar</c:v>
                </c:pt>
                <c:pt idx="1">
                  <c:v>Kavita Rathore</c:v>
                </c:pt>
                <c:pt idx="2">
                  <c:v>Simran Rathore</c:v>
                </c:pt>
                <c:pt idx="3">
                  <c:v>Sneh Khan</c:v>
                </c:pt>
                <c:pt idx="4">
                  <c:v>Surendranath Thakur</c:v>
                </c:pt>
              </c:strCache>
            </c:strRef>
          </c:cat>
          <c:val>
            <c:numRef>
              <c:f>DASHBOARD!$K$4:$K$8</c:f>
              <c:numCache>
                <c:formatCode>0.00%</c:formatCode>
                <c:ptCount val="5"/>
                <c:pt idx="0">
                  <c:v>0.59000000000000008</c:v>
                </c:pt>
                <c:pt idx="1">
                  <c:v>0.65200000000000002</c:v>
                </c:pt>
                <c:pt idx="2">
                  <c:v>0.52200000000000002</c:v>
                </c:pt>
                <c:pt idx="3">
                  <c:v>0.496</c:v>
                </c:pt>
                <c:pt idx="4">
                  <c:v>0.56200000000000006</c:v>
                </c:pt>
              </c:numCache>
            </c:numRef>
          </c:val>
          <c:smooth val="0"/>
          <c:extLst>
            <c:ext xmlns:c16="http://schemas.microsoft.com/office/drawing/2014/chart" uri="{C3380CC4-5D6E-409C-BE32-E72D297353CC}">
              <c16:uniqueId val="{00000000-DE68-4479-9ED1-45DA5593B46D}"/>
            </c:ext>
          </c:extLst>
        </c:ser>
        <c:dLbls>
          <c:showLegendKey val="0"/>
          <c:showVal val="0"/>
          <c:showCatName val="0"/>
          <c:showSerName val="0"/>
          <c:showPercent val="0"/>
          <c:showBubbleSize val="0"/>
        </c:dLbls>
        <c:smooth val="0"/>
        <c:axId val="168427776"/>
        <c:axId val="1942095952"/>
      </c:lineChart>
      <c:catAx>
        <c:axId val="1684277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500" b="0" i="0" u="none" strike="noStrike" kern="1200" baseline="0">
                <a:solidFill>
                  <a:schemeClr val="tx1">
                    <a:lumMod val="65000"/>
                    <a:lumOff val="35000"/>
                  </a:schemeClr>
                </a:solidFill>
                <a:latin typeface="+mn-lt"/>
                <a:ea typeface="+mn-ea"/>
                <a:cs typeface="+mn-cs"/>
              </a:defRPr>
            </a:pPr>
            <a:endParaRPr lang="en-US"/>
          </a:p>
        </c:txPr>
        <c:crossAx val="1942095952"/>
        <c:crosses val="autoZero"/>
        <c:auto val="1"/>
        <c:lblAlgn val="ctr"/>
        <c:lblOffset val="100"/>
        <c:noMultiLvlLbl val="0"/>
      </c:catAx>
      <c:valAx>
        <c:axId val="1942095952"/>
        <c:scaling>
          <c:orientation val="minMax"/>
        </c:scaling>
        <c:delete val="1"/>
        <c:axPos val="l"/>
        <c:numFmt formatCode="0.00%" sourceLinked="1"/>
        <c:majorTickMark val="none"/>
        <c:minorTickMark val="none"/>
        <c:tickLblPos val="nextTo"/>
        <c:crossAx val="16842777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checked="Checked" fmlaLink="$D$1" lockText="1" noThreeD="1"/>
</file>

<file path=xl/ctrlProps/ctrlProp3.xml><?xml version="1.0" encoding="utf-8"?>
<formControlPr xmlns="http://schemas.microsoft.com/office/spreadsheetml/2009/9/main" objectType="CheckBox" fmlaLink="$G$1" lockText="1" noThreeD="1"/>
</file>

<file path=xl/ctrlProps/ctrlProp4.xml><?xml version="1.0" encoding="utf-8"?>
<formControlPr xmlns="http://schemas.microsoft.com/office/spreadsheetml/2009/9/main" objectType="CheckBox"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15240</xdr:colOff>
      <xdr:row>8</xdr:row>
      <xdr:rowOff>175260</xdr:rowOff>
    </xdr:from>
    <xdr:to>
      <xdr:col>5</xdr:col>
      <xdr:colOff>22860</xdr:colOff>
      <xdr:row>20</xdr:row>
      <xdr:rowOff>121920</xdr:rowOff>
    </xdr:to>
    <xdr:graphicFrame macro="">
      <xdr:nvGraphicFramePr>
        <xdr:cNvPr id="2" name="Chart 1">
          <a:extLst>
            <a:ext uri="{FF2B5EF4-FFF2-40B4-BE49-F238E27FC236}">
              <a16:creationId xmlns:a16="http://schemas.microsoft.com/office/drawing/2014/main" id="{3356414C-5171-51A2-8C15-7D1330A7216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600364</xdr:colOff>
      <xdr:row>8</xdr:row>
      <xdr:rowOff>127000</xdr:rowOff>
    </xdr:from>
    <xdr:to>
      <xdr:col>8</xdr:col>
      <xdr:colOff>69273</xdr:colOff>
      <xdr:row>20</xdr:row>
      <xdr:rowOff>92363</xdr:rowOff>
    </xdr:to>
    <xdr:graphicFrame macro="">
      <xdr:nvGraphicFramePr>
        <xdr:cNvPr id="3" name="Chart 2">
          <a:extLst>
            <a:ext uri="{FF2B5EF4-FFF2-40B4-BE49-F238E27FC236}">
              <a16:creationId xmlns:a16="http://schemas.microsoft.com/office/drawing/2014/main" id="{31EE24EE-97C0-48AC-323B-6C104CF66B5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127001</xdr:colOff>
      <xdr:row>8</xdr:row>
      <xdr:rowOff>115455</xdr:rowOff>
    </xdr:from>
    <xdr:to>
      <xdr:col>10</xdr:col>
      <xdr:colOff>1108364</xdr:colOff>
      <xdr:row>20</xdr:row>
      <xdr:rowOff>138544</xdr:rowOff>
    </xdr:to>
    <xdr:graphicFrame macro="">
      <xdr:nvGraphicFramePr>
        <xdr:cNvPr id="4" name="Chart 3">
          <a:extLst>
            <a:ext uri="{FF2B5EF4-FFF2-40B4-BE49-F238E27FC236}">
              <a16:creationId xmlns:a16="http://schemas.microsoft.com/office/drawing/2014/main" id="{175FC1DA-417D-7FA1-4CD0-CFFBDB76850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0</xdr:rowOff>
    </xdr:from>
    <xdr:to>
      <xdr:col>11</xdr:col>
      <xdr:colOff>21315</xdr:colOff>
      <xdr:row>1</xdr:row>
      <xdr:rowOff>66990</xdr:rowOff>
    </xdr:to>
    <mc:AlternateContent xmlns:mc="http://schemas.openxmlformats.org/markup-compatibility/2006" xmlns:a14="http://schemas.microsoft.com/office/drawing/2010/main">
      <mc:Choice Requires="a14">
        <xdr:graphicFrame macro="">
          <xdr:nvGraphicFramePr>
            <xdr:cNvPr id="5" name="Region">
              <a:extLst>
                <a:ext uri="{FF2B5EF4-FFF2-40B4-BE49-F238E27FC236}">
                  <a16:creationId xmlns:a16="http://schemas.microsoft.com/office/drawing/2014/main" id="{8A94890A-7C05-E46E-73E8-7A90C98CA318}"/>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0" y="0"/>
              <a:ext cx="8759575" cy="433146"/>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83736</xdr:colOff>
      <xdr:row>1</xdr:row>
      <xdr:rowOff>217714</xdr:rowOff>
    </xdr:from>
    <xdr:to>
      <xdr:col>1</xdr:col>
      <xdr:colOff>267956</xdr:colOff>
      <xdr:row>1</xdr:row>
      <xdr:rowOff>569406</xdr:rowOff>
    </xdr:to>
    <xdr:sp macro="" textlink="">
      <xdr:nvSpPr>
        <xdr:cNvPr id="6" name="Speech Bubble: Rectangle with Corners Rounded 5">
          <a:extLst>
            <a:ext uri="{FF2B5EF4-FFF2-40B4-BE49-F238E27FC236}">
              <a16:creationId xmlns:a16="http://schemas.microsoft.com/office/drawing/2014/main" id="{28917544-6C9F-D9B1-5030-6C2CFB658CA4}"/>
            </a:ext>
          </a:extLst>
        </xdr:cNvPr>
        <xdr:cNvSpPr/>
      </xdr:nvSpPr>
      <xdr:spPr>
        <a:xfrm>
          <a:off x="83736" y="401934"/>
          <a:ext cx="1297912" cy="351692"/>
        </a:xfrm>
        <a:prstGeom prst="wedgeRoundRectCallout">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0</xdr:col>
          <xdr:colOff>220980</xdr:colOff>
          <xdr:row>1</xdr:row>
          <xdr:rowOff>243840</xdr:rowOff>
        </xdr:from>
        <xdr:to>
          <xdr:col>1</xdr:col>
          <xdr:colOff>266700</xdr:colOff>
          <xdr:row>1</xdr:row>
          <xdr:rowOff>563880</xdr:rowOff>
        </xdr:to>
        <xdr:sp macro="" textlink="">
          <xdr:nvSpPr>
            <xdr:cNvPr id="1025" name="Check Box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 Dashboard 1</a:t>
              </a:r>
            </a:p>
          </xdr:txBody>
        </xdr:sp>
        <xdr:clientData/>
      </xdr:twoCellAnchor>
    </mc:Choice>
    <mc:Fallback/>
  </mc:AlternateContent>
  <xdr:twoCellAnchor>
    <xdr:from>
      <xdr:col>3</xdr:col>
      <xdr:colOff>16747</xdr:colOff>
      <xdr:row>1</xdr:row>
      <xdr:rowOff>226088</xdr:rowOff>
    </xdr:from>
    <xdr:to>
      <xdr:col>4</xdr:col>
      <xdr:colOff>234461</xdr:colOff>
      <xdr:row>1</xdr:row>
      <xdr:rowOff>577780</xdr:rowOff>
    </xdr:to>
    <xdr:sp macro="" textlink="">
      <xdr:nvSpPr>
        <xdr:cNvPr id="13" name="Speech Bubble: Rectangle with Corners Rounded 12">
          <a:extLst>
            <a:ext uri="{FF2B5EF4-FFF2-40B4-BE49-F238E27FC236}">
              <a16:creationId xmlns:a16="http://schemas.microsoft.com/office/drawing/2014/main" id="{1872D9CF-65A5-4C7D-A35E-70D240294D25}"/>
            </a:ext>
          </a:extLst>
        </xdr:cNvPr>
        <xdr:cNvSpPr/>
      </xdr:nvSpPr>
      <xdr:spPr>
        <a:xfrm>
          <a:off x="2085033" y="410308"/>
          <a:ext cx="1297912" cy="351692"/>
        </a:xfrm>
        <a:prstGeom prst="wedgeRoundRectCallout">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endParaRPr lang="en-IN" sz="1100"/>
        </a:p>
      </xdr:txBody>
    </xdr:sp>
    <xdr:clientData/>
  </xdr:twoCellAnchor>
  <xdr:twoCellAnchor>
    <xdr:from>
      <xdr:col>6</xdr:col>
      <xdr:colOff>25120</xdr:colOff>
      <xdr:row>1</xdr:row>
      <xdr:rowOff>209340</xdr:rowOff>
    </xdr:from>
    <xdr:to>
      <xdr:col>7</xdr:col>
      <xdr:colOff>410307</xdr:colOff>
      <xdr:row>1</xdr:row>
      <xdr:rowOff>561032</xdr:rowOff>
    </xdr:to>
    <xdr:sp macro="" textlink="">
      <xdr:nvSpPr>
        <xdr:cNvPr id="14" name="Speech Bubble: Rectangle with Corners Rounded 13">
          <a:extLst>
            <a:ext uri="{FF2B5EF4-FFF2-40B4-BE49-F238E27FC236}">
              <a16:creationId xmlns:a16="http://schemas.microsoft.com/office/drawing/2014/main" id="{4D93DDC4-374F-403B-95A6-1DBE7014C47B}"/>
            </a:ext>
          </a:extLst>
        </xdr:cNvPr>
        <xdr:cNvSpPr/>
      </xdr:nvSpPr>
      <xdr:spPr>
        <a:xfrm>
          <a:off x="4396153" y="577780"/>
          <a:ext cx="1297912" cy="351692"/>
        </a:xfrm>
        <a:prstGeom prst="wedgeRoundRectCallout">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endParaRPr lang="en-IN" sz="1100"/>
        </a:p>
      </xdr:txBody>
    </xdr:sp>
    <xdr:clientData/>
  </xdr:twoCellAnchor>
  <xdr:twoCellAnchor>
    <xdr:from>
      <xdr:col>8</xdr:col>
      <xdr:colOff>159099</xdr:colOff>
      <xdr:row>1</xdr:row>
      <xdr:rowOff>226088</xdr:rowOff>
    </xdr:from>
    <xdr:to>
      <xdr:col>10</xdr:col>
      <xdr:colOff>108858</xdr:colOff>
      <xdr:row>1</xdr:row>
      <xdr:rowOff>577780</xdr:rowOff>
    </xdr:to>
    <xdr:sp macro="" textlink="">
      <xdr:nvSpPr>
        <xdr:cNvPr id="15" name="Speech Bubble: Rectangle with Corners Rounded 14">
          <a:extLst>
            <a:ext uri="{FF2B5EF4-FFF2-40B4-BE49-F238E27FC236}">
              <a16:creationId xmlns:a16="http://schemas.microsoft.com/office/drawing/2014/main" id="{67566B88-186D-4EB4-B0D6-B1AB009B3A51}"/>
            </a:ext>
          </a:extLst>
        </xdr:cNvPr>
        <xdr:cNvSpPr/>
      </xdr:nvSpPr>
      <xdr:spPr>
        <a:xfrm>
          <a:off x="6489561" y="594528"/>
          <a:ext cx="1297912" cy="351692"/>
        </a:xfrm>
        <a:prstGeom prst="wedgeRoundRectCallout">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3</xdr:col>
          <xdr:colOff>106680</xdr:colOff>
          <xdr:row>1</xdr:row>
          <xdr:rowOff>327660</xdr:rowOff>
        </xdr:from>
        <xdr:to>
          <xdr:col>4</xdr:col>
          <xdr:colOff>144780</xdr:colOff>
          <xdr:row>1</xdr:row>
          <xdr:rowOff>556260</xdr:rowOff>
        </xdr:to>
        <xdr:sp macro="" textlink="">
          <xdr:nvSpPr>
            <xdr:cNvPr id="1026" name="Check Box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251460</xdr:colOff>
          <xdr:row>1</xdr:row>
          <xdr:rowOff>320040</xdr:rowOff>
        </xdr:from>
        <xdr:to>
          <xdr:col>7</xdr:col>
          <xdr:colOff>350520</xdr:colOff>
          <xdr:row>1</xdr:row>
          <xdr:rowOff>541020</xdr:rowOff>
        </xdr:to>
        <xdr:sp macro="" textlink="">
          <xdr:nvSpPr>
            <xdr:cNvPr id="1029" name="Check Box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220980</xdr:colOff>
          <xdr:row>1</xdr:row>
          <xdr:rowOff>320040</xdr:rowOff>
        </xdr:from>
        <xdr:to>
          <xdr:col>10</xdr:col>
          <xdr:colOff>228600</xdr:colOff>
          <xdr:row>1</xdr:row>
          <xdr:rowOff>541020</xdr:rowOff>
        </xdr:to>
        <xdr:sp macro="" textlink="">
          <xdr:nvSpPr>
            <xdr:cNvPr id="1030" name="Check Box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himran" refreshedDate="46321.62310034722" createdVersion="8" refreshedVersion="8" minRefreshableVersion="3" recordCount="100" xr:uid="{DA3C5049-E016-46CE-AFB6-2190C8A18C02}">
  <cacheSource type="worksheet">
    <worksheetSource ref="A1:L101" sheet="ROW DATA"/>
  </cacheSource>
  <cacheFields count="12">
    <cacheField name="Emp Code" numFmtId="0">
      <sharedItems/>
    </cacheField>
    <cacheField name="Sales Executive" numFmtId="0">
      <sharedItems count="100">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ushma Kulkarni"/>
        <s v="Syed Verma"/>
        <s v="Sanjay Thakur"/>
        <s v="Anjali Mehta"/>
        <s v="Sonaram Pawar"/>
        <s v="Rahul Sohail"/>
        <s v="Manoj Chawla"/>
        <s v="Sunita Khandelwal"/>
        <s v="Nikhil Qureshi"/>
        <s v="Varun Rathore"/>
        <s v="Sunil Kale"/>
        <s v="Swarnlata Yadav"/>
        <s v="Syed Madnani"/>
        <s v="Amit Yadav"/>
        <s v="Sudhir Joshi"/>
        <s v="Riya Madnani"/>
        <s v="Rohit Khan"/>
        <s v="Surendra Chawla"/>
        <s v="Kavita Borse"/>
        <s v="Sunil Munda"/>
        <s v="Manoj Borse"/>
        <s v="Aditya Nair"/>
        <s v="Kavita Singh"/>
        <s v="Rahul Borse"/>
        <s v="Kavita Sohail"/>
        <s v="Aditya Kulkarni"/>
        <s v="Syed Singh"/>
        <s v="Asha Mehta"/>
        <s v="Sneh Chawla"/>
        <s v="Tanuja Jadhav"/>
        <s v="Sonaram Kale"/>
        <s v="Riya Sohail"/>
        <s v="Meera Rathore"/>
        <s v="Meera Khan"/>
        <s v="Sonaram Roy"/>
        <s v="Pooja Verma"/>
        <s v="Isha Verma"/>
        <s v="Sneha Patil"/>
        <s v="Amit Qureshi"/>
        <s v="Deepak Shah"/>
        <s v="Varun Sharma"/>
        <s v="Sudama Thakur"/>
        <s v="Amit Borse"/>
        <s v="Raj Kale"/>
        <s v="Asha Sohail"/>
        <s v="Shyamal Khan"/>
        <s v="Deepak Joshi"/>
        <s v="Kavita Rathore"/>
        <s v="Sudhir Das"/>
        <s v="Deepak Borse"/>
        <s v="Pooja Yadav"/>
        <s v="Sunil Mehta"/>
        <s v="Amit Sharma"/>
        <s v="Sudhir Shah"/>
        <s v="Vikram Sharma"/>
        <s v="Anjali Kumar"/>
        <s v="Riya Yadav"/>
        <s v="Sudhir Qureshi"/>
        <s v="Arvind Mehta"/>
        <s v="Vikram Borse"/>
        <s v="Varun Munda"/>
        <s v="Amit Kale"/>
        <s v="Asha Rathore"/>
        <s v="Simran Mishra"/>
        <s v="Kavita Kulkarni"/>
        <s v="Swarnlata Munda"/>
        <s v="Sneh Khandelwal"/>
        <s v="Anjali Qureshi"/>
        <s v="Kavita Malakar"/>
        <s v="Simran Shah"/>
        <s v="Neha Kulkarni"/>
        <s v="Aditya Qureshi"/>
        <s v="Rohit Nair"/>
        <s v="Kavita Patil"/>
        <s v="Kavita Sharma"/>
        <s v="Simran Kumar"/>
        <s v="Manoj Malakar"/>
        <s v="Simran Rathore"/>
        <s v="Karan Roy"/>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1" maxValue="100"/>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1" maxValue="99"/>
    </cacheField>
    <cacheField name="Day4" numFmtId="0">
      <sharedItems containsSemiMixedTypes="0" containsString="0" containsNumber="1" containsInteger="1" minValue="11" maxValue="100"/>
    </cacheField>
    <cacheField name="Day5" numFmtId="0">
      <sharedItems containsSemiMixedTypes="0" containsString="0" containsNumber="1" containsInteger="1" minValue="10" maxValue="98"/>
    </cacheField>
    <cacheField name="Total Sales" numFmtId="3">
      <sharedItems containsSemiMixedTypes="0" containsString="0" containsNumber="1" containsInteger="1" minValue="152" maxValue="402"/>
    </cacheField>
    <cacheField name="Target" numFmtId="3">
      <sharedItems containsSemiMixedTypes="0" containsString="0" containsNumber="1" containsInteger="1" minValue="500" maxValue="500"/>
    </cacheField>
    <cacheField name="Target Hit %" numFmtId="10">
      <sharedItems containsSemiMixedTypes="0" containsString="0" containsNumber="1" minValue="0.30399999999999999" maxValue="0.80400000000000005"/>
    </cacheField>
    <cacheField name="Away From Target %" numFmtId="10">
      <sharedItems containsSemiMixedTypes="0" containsString="0" containsNumber="1" minValue="0.19599999999999995" maxValue="0.69599999999999995"/>
    </cacheField>
  </cacheFields>
  <extLst>
    <ext xmlns:x14="http://schemas.microsoft.com/office/spreadsheetml/2009/9/main" uri="{725AE2AE-9491-48be-B2B4-4EB974FC3084}">
      <x14:pivotCacheDefinition pivotCacheId="1201314733"/>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3"/>
    <n v="96"/>
    <n v="27"/>
    <n v="72"/>
    <n v="61"/>
    <n v="79"/>
    <n v="335"/>
    <n v="500"/>
    <n v="0.67"/>
    <n v="0.32999999999999996"/>
  </r>
  <r>
    <s v="Mum-TCL023"/>
    <x v="22"/>
    <x v="6"/>
    <n v="84"/>
    <n v="55"/>
    <n v="52"/>
    <n v="53"/>
    <n v="34"/>
    <n v="278"/>
    <n v="500"/>
    <n v="0.55600000000000005"/>
    <n v="0.44399999999999995"/>
  </r>
  <r>
    <s v="Mum-TCL024"/>
    <x v="23"/>
    <x v="7"/>
    <n v="53"/>
    <n v="98"/>
    <n v="97"/>
    <n v="57"/>
    <n v="16"/>
    <n v="321"/>
    <n v="500"/>
    <n v="0.64200000000000002"/>
    <n v="0.35799999999999998"/>
  </r>
  <r>
    <s v="Mum-TCL025"/>
    <x v="24"/>
    <x v="3"/>
    <n v="73"/>
    <n v="26"/>
    <n v="59"/>
    <n v="62"/>
    <n v="49"/>
    <n v="269"/>
    <n v="500"/>
    <n v="0.53800000000000003"/>
    <n v="0.46199999999999997"/>
  </r>
  <r>
    <s v="Mum-TCL026"/>
    <x v="25"/>
    <x v="6"/>
    <n v="65"/>
    <n v="51"/>
    <n v="46"/>
    <n v="18"/>
    <n v="53"/>
    <n v="233"/>
    <n v="500"/>
    <n v="0.46600000000000003"/>
    <n v="0.53400000000000003"/>
  </r>
  <r>
    <s v="Mum-TCL027"/>
    <x v="26"/>
    <x v="6"/>
    <n v="51"/>
    <n v="49"/>
    <n v="84"/>
    <n v="71"/>
    <n v="57"/>
    <n v="312"/>
    <n v="500"/>
    <n v="0.624"/>
    <n v="0.376"/>
  </r>
  <r>
    <s v="Mum-TCL028"/>
    <x v="27"/>
    <x v="3"/>
    <n v="17"/>
    <n v="29"/>
    <n v="80"/>
    <n v="36"/>
    <n v="82"/>
    <n v="244"/>
    <n v="500"/>
    <n v="0.48799999999999999"/>
    <n v="0.51200000000000001"/>
  </r>
  <r>
    <s v="Mum-TCL029"/>
    <x v="28"/>
    <x v="7"/>
    <n v="98"/>
    <n v="40"/>
    <n v="17"/>
    <n v="64"/>
    <n v="98"/>
    <n v="317"/>
    <n v="500"/>
    <n v="0.63400000000000001"/>
    <n v="0.36599999999999999"/>
  </r>
  <r>
    <s v="Mum-TCL030"/>
    <x v="29"/>
    <x v="6"/>
    <n v="49"/>
    <n v="90"/>
    <n v="78"/>
    <n v="11"/>
    <n v="95"/>
    <n v="323"/>
    <n v="500"/>
    <n v="0.64600000000000002"/>
    <n v="0.35399999999999998"/>
  </r>
  <r>
    <s v="Mum-TCL031"/>
    <x v="30"/>
    <x v="3"/>
    <n v="18"/>
    <n v="67"/>
    <n v="96"/>
    <n v="26"/>
    <n v="60"/>
    <n v="267"/>
    <n v="500"/>
    <n v="0.53400000000000003"/>
    <n v="0.46599999999999997"/>
  </r>
  <r>
    <s v="Mum-TCL032"/>
    <x v="31"/>
    <x v="4"/>
    <n v="45"/>
    <n v="87"/>
    <n v="92"/>
    <n v="22"/>
    <n v="55"/>
    <n v="301"/>
    <n v="500"/>
    <n v="0.60199999999999998"/>
    <n v="0.39800000000000002"/>
  </r>
  <r>
    <s v="Mum-TCL033"/>
    <x v="32"/>
    <x v="4"/>
    <n v="47"/>
    <n v="69"/>
    <n v="92"/>
    <n v="20"/>
    <n v="62"/>
    <n v="290"/>
    <n v="500"/>
    <n v="0.57999999999999996"/>
    <n v="0.42000000000000004"/>
  </r>
  <r>
    <s v="Mum-TCL034"/>
    <x v="33"/>
    <x v="0"/>
    <n v="48"/>
    <n v="77"/>
    <n v="50"/>
    <n v="20"/>
    <n v="82"/>
    <n v="277"/>
    <n v="500"/>
    <n v="0.55400000000000005"/>
    <n v="0.44599999999999995"/>
  </r>
  <r>
    <s v="Mum-TCL035"/>
    <x v="34"/>
    <x v="0"/>
    <n v="11"/>
    <n v="74"/>
    <n v="17"/>
    <n v="24"/>
    <n v="55"/>
    <n v="181"/>
    <n v="500"/>
    <n v="0.36199999999999999"/>
    <n v="0.63800000000000001"/>
  </r>
  <r>
    <s v="Mum-TCL036"/>
    <x v="35"/>
    <x v="5"/>
    <n v="60"/>
    <n v="73"/>
    <n v="14"/>
    <n v="37"/>
    <n v="20"/>
    <n v="204"/>
    <n v="500"/>
    <n v="0.40799999999999997"/>
    <n v="0.59200000000000008"/>
  </r>
  <r>
    <s v="Mum-TCL037"/>
    <x v="36"/>
    <x v="5"/>
    <n v="91"/>
    <n v="72"/>
    <n v="65"/>
    <n v="32"/>
    <n v="56"/>
    <n v="316"/>
    <n v="500"/>
    <n v="0.63200000000000001"/>
    <n v="0.36799999999999999"/>
  </r>
  <r>
    <s v="Mum-TCL038"/>
    <x v="37"/>
    <x v="7"/>
    <n v="64"/>
    <n v="64"/>
    <n v="76"/>
    <n v="67"/>
    <n v="20"/>
    <n v="291"/>
    <n v="500"/>
    <n v="0.58199999999999996"/>
    <n v="0.41800000000000004"/>
  </r>
  <r>
    <s v="Mum-TCL039"/>
    <x v="38"/>
    <x v="5"/>
    <n v="19"/>
    <n v="97"/>
    <n v="14"/>
    <n v="71"/>
    <n v="57"/>
    <n v="258"/>
    <n v="500"/>
    <n v="0.51600000000000001"/>
    <n v="0.48399999999999999"/>
  </r>
  <r>
    <s v="Mum-TCL040"/>
    <x v="39"/>
    <x v="4"/>
    <n v="48"/>
    <n v="81"/>
    <n v="43"/>
    <n v="76"/>
    <n v="48"/>
    <n v="296"/>
    <n v="500"/>
    <n v="0.59199999999999997"/>
    <n v="0.40800000000000003"/>
  </r>
  <r>
    <s v="Mum-TCL041"/>
    <x v="40"/>
    <x v="5"/>
    <n v="100"/>
    <n v="98"/>
    <n v="60"/>
    <n v="77"/>
    <n v="62"/>
    <n v="397"/>
    <n v="500"/>
    <n v="0.79400000000000004"/>
    <n v="0.20599999999999996"/>
  </r>
  <r>
    <s v="Mum-TCL042"/>
    <x v="41"/>
    <x v="5"/>
    <n v="64"/>
    <n v="90"/>
    <n v="95"/>
    <n v="51"/>
    <n v="28"/>
    <n v="328"/>
    <n v="500"/>
    <n v="0.65600000000000003"/>
    <n v="0.34399999999999997"/>
  </r>
  <r>
    <s v="Mum-TCL043"/>
    <x v="42"/>
    <x v="4"/>
    <n v="68"/>
    <n v="20"/>
    <n v="37"/>
    <n v="59"/>
    <n v="85"/>
    <n v="269"/>
    <n v="500"/>
    <n v="0.53800000000000003"/>
    <n v="0.46199999999999997"/>
  </r>
  <r>
    <s v="Mum-TCL044"/>
    <x v="43"/>
    <x v="6"/>
    <n v="28"/>
    <n v="68"/>
    <n v="42"/>
    <n v="89"/>
    <n v="67"/>
    <n v="294"/>
    <n v="500"/>
    <n v="0.58799999999999997"/>
    <n v="0.41200000000000003"/>
  </r>
  <r>
    <s v="Mum-TCL045"/>
    <x v="44"/>
    <x v="6"/>
    <n v="38"/>
    <n v="34"/>
    <n v="30"/>
    <n v="45"/>
    <n v="93"/>
    <n v="240"/>
    <n v="500"/>
    <n v="0.48"/>
    <n v="0.52"/>
  </r>
  <r>
    <s v="Mum-TCL046"/>
    <x v="45"/>
    <x v="2"/>
    <n v="53"/>
    <n v="62"/>
    <n v="89"/>
    <n v="71"/>
    <n v="77"/>
    <n v="352"/>
    <n v="500"/>
    <n v="0.70399999999999996"/>
    <n v="0.29600000000000004"/>
  </r>
  <r>
    <s v="Mum-TCL047"/>
    <x v="46"/>
    <x v="4"/>
    <n v="62"/>
    <n v="22"/>
    <n v="85"/>
    <n v="78"/>
    <n v="97"/>
    <n v="344"/>
    <n v="500"/>
    <n v="0.68799999999999994"/>
    <n v="0.31200000000000006"/>
  </r>
  <r>
    <s v="Mum-TCL048"/>
    <x v="47"/>
    <x v="4"/>
    <n v="24"/>
    <n v="70"/>
    <n v="99"/>
    <n v="67"/>
    <n v="79"/>
    <n v="339"/>
    <n v="500"/>
    <n v="0.67800000000000005"/>
    <n v="0.32199999999999995"/>
  </r>
  <r>
    <s v="Mum-TCL049"/>
    <x v="48"/>
    <x v="0"/>
    <n v="96"/>
    <n v="24"/>
    <n v="17"/>
    <n v="28"/>
    <n v="69"/>
    <n v="234"/>
    <n v="500"/>
    <n v="0.46800000000000003"/>
    <n v="0.53200000000000003"/>
  </r>
  <r>
    <s v="Mum-TCL050"/>
    <x v="49"/>
    <x v="0"/>
    <n v="37"/>
    <n v="52"/>
    <n v="82"/>
    <n v="46"/>
    <n v="27"/>
    <n v="244"/>
    <n v="500"/>
    <n v="0.48799999999999999"/>
    <n v="0.51200000000000001"/>
  </r>
  <r>
    <s v="Mum-TCL051"/>
    <x v="50"/>
    <x v="0"/>
    <n v="82"/>
    <n v="85"/>
    <n v="95"/>
    <n v="41"/>
    <n v="83"/>
    <n v="386"/>
    <n v="500"/>
    <n v="0.77200000000000002"/>
    <n v="0.22799999999999998"/>
  </r>
  <r>
    <s v="Mum-TCL052"/>
    <x v="51"/>
    <x v="1"/>
    <n v="52"/>
    <n v="82"/>
    <n v="86"/>
    <n v="98"/>
    <n v="84"/>
    <n v="402"/>
    <n v="500"/>
    <n v="0.80400000000000005"/>
    <n v="0.19599999999999995"/>
  </r>
  <r>
    <s v="Mum-TCL053"/>
    <x v="52"/>
    <x v="1"/>
    <n v="19"/>
    <n v="64"/>
    <n v="63"/>
    <n v="54"/>
    <n v="71"/>
    <n v="271"/>
    <n v="500"/>
    <n v="0.54200000000000004"/>
    <n v="0.45799999999999996"/>
  </r>
  <r>
    <s v="Mum-TCL054"/>
    <x v="53"/>
    <x v="1"/>
    <n v="52"/>
    <n v="73"/>
    <n v="41"/>
    <n v="72"/>
    <n v="81"/>
    <n v="319"/>
    <n v="500"/>
    <n v="0.63800000000000001"/>
    <n v="0.36199999999999999"/>
  </r>
  <r>
    <s v="Mum-TCL055"/>
    <x v="54"/>
    <x v="7"/>
    <n v="20"/>
    <n v="83"/>
    <n v="33"/>
    <n v="98"/>
    <n v="10"/>
    <n v="244"/>
    <n v="500"/>
    <n v="0.48799999999999999"/>
    <n v="0.51200000000000001"/>
  </r>
  <r>
    <s v="Mum-TCL056"/>
    <x v="55"/>
    <x v="1"/>
    <n v="100"/>
    <n v="13"/>
    <n v="74"/>
    <n v="96"/>
    <n v="23"/>
    <n v="306"/>
    <n v="500"/>
    <n v="0.61199999999999999"/>
    <n v="0.38800000000000001"/>
  </r>
  <r>
    <s v="Mum-TCL057"/>
    <x v="56"/>
    <x v="0"/>
    <n v="28"/>
    <n v="84"/>
    <n v="65"/>
    <n v="41"/>
    <n v="60"/>
    <n v="278"/>
    <n v="500"/>
    <n v="0.55600000000000005"/>
    <n v="0.44399999999999995"/>
  </r>
  <r>
    <s v="Mum-TCL058"/>
    <x v="57"/>
    <x v="2"/>
    <n v="99"/>
    <n v="92"/>
    <n v="54"/>
    <n v="79"/>
    <n v="44"/>
    <n v="368"/>
    <n v="500"/>
    <n v="0.73599999999999999"/>
    <n v="0.26400000000000001"/>
  </r>
  <r>
    <s v="Mum-TCL059"/>
    <x v="58"/>
    <x v="1"/>
    <n v="67"/>
    <n v="87"/>
    <n v="51"/>
    <n v="40"/>
    <n v="66"/>
    <n v="311"/>
    <n v="500"/>
    <n v="0.622"/>
    <n v="0.378"/>
  </r>
  <r>
    <s v="Mum-TCL060"/>
    <x v="59"/>
    <x v="3"/>
    <n v="99"/>
    <n v="90"/>
    <n v="58"/>
    <n v="76"/>
    <n v="52"/>
    <n v="375"/>
    <n v="500"/>
    <n v="0.75"/>
    <n v="0.25"/>
  </r>
  <r>
    <s v="Mum-TCL061"/>
    <x v="60"/>
    <x v="2"/>
    <n v="59"/>
    <n v="90"/>
    <n v="89"/>
    <n v="71"/>
    <n v="77"/>
    <n v="386"/>
    <n v="500"/>
    <n v="0.77200000000000002"/>
    <n v="0.22799999999999998"/>
  </r>
  <r>
    <s v="Mum-TCL062"/>
    <x v="61"/>
    <x v="3"/>
    <n v="66"/>
    <n v="85"/>
    <n v="96"/>
    <n v="40"/>
    <n v="88"/>
    <n v="375"/>
    <n v="500"/>
    <n v="0.75"/>
    <n v="0.25"/>
  </r>
  <r>
    <s v="Mum-TCL063"/>
    <x v="62"/>
    <x v="1"/>
    <n v="51"/>
    <n v="97"/>
    <n v="64"/>
    <n v="89"/>
    <n v="50"/>
    <n v="351"/>
    <n v="500"/>
    <n v="0.70199999999999996"/>
    <n v="0.29800000000000004"/>
  </r>
  <r>
    <s v="Mum-TCL064"/>
    <x v="63"/>
    <x v="2"/>
    <n v="77"/>
    <n v="45"/>
    <n v="74"/>
    <n v="32"/>
    <n v="93"/>
    <n v="321"/>
    <n v="500"/>
    <n v="0.64200000000000002"/>
    <n v="0.35799999999999998"/>
  </r>
  <r>
    <s v="Mum-TCL065"/>
    <x v="64"/>
    <x v="5"/>
    <n v="69"/>
    <n v="12"/>
    <n v="26"/>
    <n v="90"/>
    <n v="71"/>
    <n v="268"/>
    <n v="500"/>
    <n v="0.53600000000000003"/>
    <n v="0.46399999999999997"/>
  </r>
  <r>
    <s v="Mum-TCL066"/>
    <x v="65"/>
    <x v="7"/>
    <n v="32"/>
    <n v="35"/>
    <n v="77"/>
    <n v="80"/>
    <n v="83"/>
    <n v="307"/>
    <n v="500"/>
    <n v="0.61399999999999999"/>
    <n v="0.38600000000000001"/>
  </r>
  <r>
    <s v="Mum-TCL067"/>
    <x v="66"/>
    <x v="6"/>
    <n v="75"/>
    <n v="25"/>
    <n v="73"/>
    <n v="14"/>
    <n v="54"/>
    <n v="241"/>
    <n v="500"/>
    <n v="0.48199999999999998"/>
    <n v="0.51800000000000002"/>
  </r>
  <r>
    <s v="Mum-TCL068"/>
    <x v="67"/>
    <x v="1"/>
    <n v="23"/>
    <n v="55"/>
    <n v="66"/>
    <n v="31"/>
    <n v="65"/>
    <n v="240"/>
    <n v="500"/>
    <n v="0.48"/>
    <n v="0.52"/>
  </r>
  <r>
    <s v="Mum-TCL069"/>
    <x v="68"/>
    <x v="2"/>
    <n v="16"/>
    <n v="23"/>
    <n v="13"/>
    <n v="65"/>
    <n v="57"/>
    <n v="174"/>
    <n v="500"/>
    <n v="0.34799999999999998"/>
    <n v="0.65200000000000002"/>
  </r>
  <r>
    <s v="Mum-TCL070"/>
    <x v="69"/>
    <x v="4"/>
    <n v="84"/>
    <n v="41"/>
    <n v="12"/>
    <n v="66"/>
    <n v="60"/>
    <n v="263"/>
    <n v="500"/>
    <n v="0.52600000000000002"/>
    <n v="0.47399999999999998"/>
  </r>
  <r>
    <s v="Mum-TCL071"/>
    <x v="70"/>
    <x v="5"/>
    <n v="81"/>
    <n v="19"/>
    <n v="81"/>
    <n v="95"/>
    <n v="46"/>
    <n v="322"/>
    <n v="500"/>
    <n v="0.64400000000000002"/>
    <n v="0.35599999999999998"/>
  </r>
  <r>
    <s v="Mum-TCL072"/>
    <x v="71"/>
    <x v="5"/>
    <n v="82"/>
    <n v="17"/>
    <n v="47"/>
    <n v="73"/>
    <n v="76"/>
    <n v="295"/>
    <n v="500"/>
    <n v="0.59"/>
    <n v="0.41000000000000003"/>
  </r>
  <r>
    <s v="Mum-TCL073"/>
    <x v="72"/>
    <x v="2"/>
    <n v="85"/>
    <n v="29"/>
    <n v="82"/>
    <n v="64"/>
    <n v="26"/>
    <n v="286"/>
    <n v="500"/>
    <n v="0.57199999999999995"/>
    <n v="0.42800000000000005"/>
  </r>
  <r>
    <s v="Mum-TCL074"/>
    <x v="73"/>
    <x v="4"/>
    <n v="51"/>
    <n v="88"/>
    <n v="22"/>
    <n v="17"/>
    <n v="34"/>
    <n v="212"/>
    <n v="500"/>
    <n v="0.42399999999999999"/>
    <n v="0.57600000000000007"/>
  </r>
  <r>
    <s v="Mum-TCL075"/>
    <x v="74"/>
    <x v="7"/>
    <n v="39"/>
    <n v="53"/>
    <n v="12"/>
    <n v="24"/>
    <n v="64"/>
    <n v="192"/>
    <n v="500"/>
    <n v="0.38400000000000001"/>
    <n v="0.61599999999999999"/>
  </r>
  <r>
    <s v="Mum-TCL076"/>
    <x v="75"/>
    <x v="5"/>
    <n v="95"/>
    <n v="39"/>
    <n v="85"/>
    <n v="91"/>
    <n v="82"/>
    <n v="392"/>
    <n v="500"/>
    <n v="0.78400000000000003"/>
    <n v="0.21599999999999997"/>
  </r>
  <r>
    <s v="Mum-TCL077"/>
    <x v="76"/>
    <x v="4"/>
    <n v="86"/>
    <n v="23"/>
    <n v="89"/>
    <n v="73"/>
    <n v="47"/>
    <n v="318"/>
    <n v="500"/>
    <n v="0.63600000000000001"/>
    <n v="0.36399999999999999"/>
  </r>
  <r>
    <s v="Mum-TCL078"/>
    <x v="77"/>
    <x v="4"/>
    <n v="84"/>
    <n v="38"/>
    <n v="45"/>
    <n v="78"/>
    <n v="49"/>
    <n v="294"/>
    <n v="500"/>
    <n v="0.58799999999999997"/>
    <n v="0.41200000000000003"/>
  </r>
  <r>
    <s v="Mum-TCL079"/>
    <x v="78"/>
    <x v="7"/>
    <n v="62"/>
    <n v="98"/>
    <n v="64"/>
    <n v="62"/>
    <n v="19"/>
    <n v="305"/>
    <n v="500"/>
    <n v="0.61"/>
    <n v="0.39"/>
  </r>
  <r>
    <s v="Mum-TCL080"/>
    <x v="79"/>
    <x v="0"/>
    <n v="49"/>
    <n v="86"/>
    <n v="40"/>
    <n v="50"/>
    <n v="49"/>
    <n v="274"/>
    <n v="500"/>
    <n v="0.54800000000000004"/>
    <n v="0.45199999999999996"/>
  </r>
  <r>
    <s v="Mum-TCL081"/>
    <x v="80"/>
    <x v="4"/>
    <n v="62"/>
    <n v="17"/>
    <n v="63"/>
    <n v="32"/>
    <n v="60"/>
    <n v="234"/>
    <n v="500"/>
    <n v="0.46800000000000003"/>
    <n v="0.53200000000000003"/>
  </r>
  <r>
    <s v="Mum-TCL082"/>
    <x v="81"/>
    <x v="3"/>
    <n v="26"/>
    <n v="84"/>
    <n v="61"/>
    <n v="37"/>
    <n v="68"/>
    <n v="276"/>
    <n v="500"/>
    <n v="0.55200000000000005"/>
    <n v="0.44799999999999995"/>
  </r>
  <r>
    <s v="Mum-TCL083"/>
    <x v="82"/>
    <x v="3"/>
    <n v="92"/>
    <n v="11"/>
    <n v="70"/>
    <n v="85"/>
    <n v="38"/>
    <n v="296"/>
    <n v="500"/>
    <n v="0.59199999999999997"/>
    <n v="0.40800000000000003"/>
  </r>
  <r>
    <s v="Mum-TCL084"/>
    <x v="83"/>
    <x v="0"/>
    <n v="51"/>
    <n v="55"/>
    <n v="65"/>
    <n v="62"/>
    <n v="38"/>
    <n v="271"/>
    <n v="500"/>
    <n v="0.54200000000000004"/>
    <n v="0.45799999999999996"/>
  </r>
  <r>
    <s v="Mum-TCL085"/>
    <x v="84"/>
    <x v="0"/>
    <n v="78"/>
    <n v="96"/>
    <n v="20"/>
    <n v="15"/>
    <n v="78"/>
    <n v="287"/>
    <n v="500"/>
    <n v="0.57399999999999995"/>
    <n v="0.42600000000000005"/>
  </r>
  <r>
    <s v="Mum-TCL086"/>
    <x v="85"/>
    <x v="7"/>
    <n v="79"/>
    <n v="88"/>
    <n v="64"/>
    <n v="59"/>
    <n v="17"/>
    <n v="307"/>
    <n v="500"/>
    <n v="0.61399999999999999"/>
    <n v="0.38600000000000001"/>
  </r>
  <r>
    <s v="Mum-TCL087"/>
    <x v="86"/>
    <x v="4"/>
    <n v="48"/>
    <n v="17"/>
    <n v="76"/>
    <n v="19"/>
    <n v="89"/>
    <n v="249"/>
    <n v="500"/>
    <n v="0.498"/>
    <n v="0.502"/>
  </r>
  <r>
    <s v="Mum-TCL088"/>
    <x v="87"/>
    <x v="5"/>
    <n v="49"/>
    <n v="21"/>
    <n v="50"/>
    <n v="100"/>
    <n v="90"/>
    <n v="310"/>
    <n v="500"/>
    <n v="0.62"/>
    <n v="0.38"/>
  </r>
  <r>
    <s v="Mum-TCL089"/>
    <x v="88"/>
    <x v="6"/>
    <n v="30"/>
    <n v="20"/>
    <n v="90"/>
    <n v="75"/>
    <n v="51"/>
    <n v="266"/>
    <n v="500"/>
    <n v="0.53200000000000003"/>
    <n v="0.46799999999999997"/>
  </r>
  <r>
    <s v="Mum-TCL090"/>
    <x v="89"/>
    <x v="2"/>
    <n v="21"/>
    <n v="59"/>
    <n v="53"/>
    <n v="61"/>
    <n v="11"/>
    <n v="205"/>
    <n v="500"/>
    <n v="0.41"/>
    <n v="0.59000000000000008"/>
  </r>
  <r>
    <s v="Mum-TCL091"/>
    <x v="90"/>
    <x v="0"/>
    <n v="15"/>
    <n v="53"/>
    <n v="45"/>
    <n v="28"/>
    <n v="68"/>
    <n v="209"/>
    <n v="500"/>
    <n v="0.41799999999999998"/>
    <n v="0.58200000000000007"/>
  </r>
  <r>
    <s v="Mum-TCL092"/>
    <x v="91"/>
    <x v="7"/>
    <n v="67"/>
    <n v="25"/>
    <n v="20"/>
    <n v="50"/>
    <n v="63"/>
    <n v="225"/>
    <n v="500"/>
    <n v="0.45"/>
    <n v="0.55000000000000004"/>
  </r>
  <r>
    <s v="Mum-TCL093"/>
    <x v="92"/>
    <x v="5"/>
    <n v="17"/>
    <n v="50"/>
    <n v="36"/>
    <n v="98"/>
    <n v="69"/>
    <n v="270"/>
    <n v="500"/>
    <n v="0.54"/>
    <n v="0.45999999999999996"/>
  </r>
  <r>
    <s v="Mum-TCL094"/>
    <x v="93"/>
    <x v="3"/>
    <n v="91"/>
    <n v="92"/>
    <n v="43"/>
    <n v="34"/>
    <n v="89"/>
    <n v="349"/>
    <n v="500"/>
    <n v="0.69799999999999995"/>
    <n v="0.30200000000000005"/>
  </r>
  <r>
    <s v="Mum-TCL095"/>
    <x v="94"/>
    <x v="1"/>
    <n v="22"/>
    <n v="42"/>
    <n v="47"/>
    <n v="29"/>
    <n v="12"/>
    <n v="152"/>
    <n v="500"/>
    <n v="0.30399999999999999"/>
    <n v="0.69599999999999995"/>
  </r>
  <r>
    <s v="Mum-TCL096"/>
    <x v="95"/>
    <x v="5"/>
    <n v="52"/>
    <n v="85"/>
    <n v="99"/>
    <n v="58"/>
    <n v="90"/>
    <n v="384"/>
    <n v="500"/>
    <n v="0.76800000000000002"/>
    <n v="0.23199999999999998"/>
  </r>
  <r>
    <s v="Mum-TCL097"/>
    <x v="96"/>
    <x v="7"/>
    <n v="55"/>
    <n v="43"/>
    <n v="32"/>
    <n v="77"/>
    <n v="51"/>
    <n v="258"/>
    <n v="500"/>
    <n v="0.51600000000000001"/>
    <n v="0.48399999999999999"/>
  </r>
  <r>
    <s v="Mum-TCL098"/>
    <x v="97"/>
    <x v="1"/>
    <n v="43"/>
    <n v="84"/>
    <n v="51"/>
    <n v="74"/>
    <n v="85"/>
    <n v="337"/>
    <n v="500"/>
    <n v="0.67400000000000004"/>
    <n v="0.32599999999999996"/>
  </r>
  <r>
    <s v="Mum-TCL099"/>
    <x v="98"/>
    <x v="2"/>
    <n v="24"/>
    <n v="21"/>
    <n v="85"/>
    <n v="57"/>
    <n v="52"/>
    <n v="239"/>
    <n v="500"/>
    <n v="0.47799999999999998"/>
    <n v="0.52200000000000002"/>
  </r>
  <r>
    <s v="Mum-TCL100"/>
    <x v="99"/>
    <x v="5"/>
    <n v="77"/>
    <n v="35"/>
    <n v="16"/>
    <n v="83"/>
    <n v="59"/>
    <n v="270"/>
    <n v="500"/>
    <n v="0.54"/>
    <n v="0.45999999999999996"/>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070C53A-ABFD-43D3-91E8-45E04727B6B1}" name="PivotTable4"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location ref="J3:K8" firstHeaderRow="1" firstDataRow="1" firstDataCol="1"/>
  <pivotFields count="12">
    <pivotField showAll="0"/>
    <pivotField axis="axisRow" showAll="0" measureFilter="1">
      <items count="101">
        <item x="46"/>
        <item x="42"/>
        <item x="92"/>
        <item x="63"/>
        <item x="82"/>
        <item x="59"/>
        <item x="73"/>
        <item x="34"/>
        <item x="76"/>
        <item x="24"/>
        <item x="88"/>
        <item x="4"/>
        <item x="79"/>
        <item x="2"/>
        <item x="48"/>
        <item x="83"/>
        <item x="65"/>
        <item x="70"/>
        <item x="67"/>
        <item x="60"/>
        <item x="57"/>
        <item x="99"/>
        <item x="39"/>
        <item x="85"/>
        <item x="89"/>
        <item x="94"/>
        <item x="68"/>
        <item x="95"/>
        <item x="43"/>
        <item x="45"/>
        <item x="41"/>
        <item x="27"/>
        <item x="97"/>
        <item x="54"/>
        <item x="53"/>
        <item x="91"/>
        <item x="29"/>
        <item x="56"/>
        <item x="71"/>
        <item x="44"/>
        <item x="26"/>
        <item x="64"/>
        <item x="0"/>
        <item x="36"/>
        <item x="52"/>
        <item x="77"/>
        <item x="37"/>
        <item x="93"/>
        <item x="23"/>
        <item x="20"/>
        <item x="66"/>
        <item x="19"/>
        <item x="96"/>
        <item x="84"/>
        <item x="98"/>
        <item x="90"/>
        <item x="49"/>
        <item x="18"/>
        <item x="87"/>
        <item x="58"/>
        <item x="51"/>
        <item x="17"/>
        <item x="25"/>
        <item x="55"/>
        <item x="16"/>
        <item x="62"/>
        <item x="69"/>
        <item x="35"/>
        <item x="15"/>
        <item x="78"/>
        <item x="74"/>
        <item x="31"/>
        <item x="14"/>
        <item x="72"/>
        <item x="40"/>
        <item x="13"/>
        <item x="28"/>
        <item x="12"/>
        <item x="38"/>
        <item x="11"/>
        <item x="10"/>
        <item x="9"/>
        <item x="21"/>
        <item x="8"/>
        <item x="86"/>
        <item x="32"/>
        <item x="33"/>
        <item x="7"/>
        <item x="6"/>
        <item x="47"/>
        <item x="5"/>
        <item x="22"/>
        <item x="3"/>
        <item x="50"/>
        <item x="1"/>
        <item x="81"/>
        <item x="30"/>
        <item x="61"/>
        <item x="80"/>
        <item x="75"/>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numFmtId="3" showAll="0"/>
    <pivotField numFmtId="3" showAll="0"/>
    <pivotField numFmtId="10" showAll="0"/>
    <pivotField dataField="1" numFmtId="10" showAll="0"/>
  </pivotFields>
  <rowFields count="1">
    <field x="1"/>
  </rowFields>
  <rowItems count="5">
    <i>
      <x v="24"/>
    </i>
    <i>
      <x v="26"/>
    </i>
    <i>
      <x v="54"/>
    </i>
    <i>
      <x v="57"/>
    </i>
    <i>
      <x v="80"/>
    </i>
  </rowItems>
  <colItems count="1">
    <i/>
  </colItems>
  <dataFields count="1">
    <dataField name="Away From Target % wise" fld="11" baseField="1" baseItem="0" numFmtId="10"/>
  </dataFields>
  <chartFormats count="1">
    <chartFormat chart="0" format="0" series="1">
      <pivotArea type="data" outline="0" fieldPosition="0">
        <references count="1">
          <reference field="4294967294" count="1" selected="0">
            <x v="0"/>
          </reference>
        </references>
      </pivotArea>
    </chartFormat>
  </chartFormats>
  <pivotTableStyleInfo name="PivotStyleMedium20"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EE99C9F1-4E9C-42C1-9914-8E4C9F9791A5}" name="PivotTable3"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Sales Executive">
  <location ref="G3:H8" firstHeaderRow="1" firstDataRow="1" firstDataCol="1"/>
  <pivotFields count="12">
    <pivotField showAll="0"/>
    <pivotField axis="axisRow" showAll="0" measureFilter="1">
      <items count="101">
        <item x="46"/>
        <item x="42"/>
        <item x="92"/>
        <item x="63"/>
        <item x="82"/>
        <item x="59"/>
        <item x="73"/>
        <item x="34"/>
        <item x="76"/>
        <item x="24"/>
        <item x="88"/>
        <item x="4"/>
        <item x="79"/>
        <item x="2"/>
        <item x="48"/>
        <item x="83"/>
        <item x="65"/>
        <item x="70"/>
        <item x="67"/>
        <item x="60"/>
        <item x="57"/>
        <item x="99"/>
        <item x="39"/>
        <item x="85"/>
        <item x="89"/>
        <item x="94"/>
        <item x="68"/>
        <item x="95"/>
        <item x="43"/>
        <item x="45"/>
        <item x="41"/>
        <item x="27"/>
        <item x="97"/>
        <item x="54"/>
        <item x="53"/>
        <item x="91"/>
        <item x="29"/>
        <item x="56"/>
        <item x="71"/>
        <item x="44"/>
        <item x="26"/>
        <item x="64"/>
        <item x="0"/>
        <item x="36"/>
        <item x="52"/>
        <item x="77"/>
        <item x="37"/>
        <item x="93"/>
        <item x="23"/>
        <item x="20"/>
        <item x="66"/>
        <item x="19"/>
        <item x="96"/>
        <item x="84"/>
        <item x="98"/>
        <item x="90"/>
        <item x="49"/>
        <item x="18"/>
        <item x="87"/>
        <item x="58"/>
        <item x="51"/>
        <item x="17"/>
        <item x="25"/>
        <item x="55"/>
        <item x="16"/>
        <item x="62"/>
        <item x="69"/>
        <item x="35"/>
        <item x="15"/>
        <item x="78"/>
        <item x="74"/>
        <item x="31"/>
        <item x="14"/>
        <item x="72"/>
        <item x="40"/>
        <item x="13"/>
        <item x="28"/>
        <item x="12"/>
        <item x="38"/>
        <item x="11"/>
        <item x="10"/>
        <item x="9"/>
        <item x="21"/>
        <item x="8"/>
        <item x="86"/>
        <item x="32"/>
        <item x="33"/>
        <item x="7"/>
        <item x="6"/>
        <item x="47"/>
        <item x="5"/>
        <item x="22"/>
        <item x="3"/>
        <item x="50"/>
        <item x="1"/>
        <item x="81"/>
        <item x="30"/>
        <item x="61"/>
        <item x="80"/>
        <item x="75"/>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numFmtId="3" showAll="0"/>
    <pivotField numFmtId="3" showAll="0"/>
    <pivotField dataField="1" numFmtId="10" showAll="0"/>
    <pivotField numFmtId="10" showAll="0"/>
  </pivotFields>
  <rowFields count="1">
    <field x="1"/>
  </rowFields>
  <rowItems count="5">
    <i>
      <x v="3"/>
    </i>
    <i>
      <x v="13"/>
    </i>
    <i>
      <x v="19"/>
    </i>
    <i>
      <x v="20"/>
    </i>
    <i>
      <x v="29"/>
    </i>
  </rowItems>
  <colItems count="1">
    <i/>
  </colItems>
  <dataFields count="1">
    <dataField name="Target Hit % wise" fld="10" baseField="1" baseItem="0" numFmtId="10"/>
  </dataFields>
  <chartFormats count="6">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2"/>
          </reference>
        </references>
      </pivotArea>
    </chartFormat>
    <chartFormat chart="0" format="2">
      <pivotArea type="data" outline="0" fieldPosition="0">
        <references count="2">
          <reference field="4294967294" count="1" selected="0">
            <x v="0"/>
          </reference>
          <reference field="1" count="1" selected="0">
            <x v="34"/>
          </reference>
        </references>
      </pivotArea>
    </chartFormat>
    <chartFormat chart="0" format="3">
      <pivotArea type="data" outline="0" fieldPosition="0">
        <references count="2">
          <reference field="4294967294" count="1" selected="0">
            <x v="0"/>
          </reference>
          <reference field="1" count="1" selected="0">
            <x v="59"/>
          </reference>
        </references>
      </pivotArea>
    </chartFormat>
    <chartFormat chart="0" format="4">
      <pivotArea type="data" outline="0" fieldPosition="0">
        <references count="2">
          <reference field="4294967294" count="1" selected="0">
            <x v="0"/>
          </reference>
          <reference field="1" count="1" selected="0">
            <x v="60"/>
          </reference>
        </references>
      </pivotArea>
    </chartFormat>
    <chartFormat chart="0" format="5">
      <pivotArea type="data" outline="0" fieldPosition="0">
        <references count="2">
          <reference field="4294967294" count="1" selected="0">
            <x v="0"/>
          </reference>
          <reference field="1" count="1" selected="0">
            <x v="65"/>
          </reference>
        </references>
      </pivotArea>
    </chartFormat>
  </chartFormats>
  <pivotTableStyleInfo name="PivotStyleMedium20"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9CFAFAC3-14E9-42C4-9F5C-AFF351330AEA}" name="PivotTable2"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rowHeaderCaption="Sales Executive">
  <location ref="D3:E8" firstHeaderRow="1" firstDataRow="1" firstDataCol="1"/>
  <pivotFields count="12">
    <pivotField showAll="0"/>
    <pivotField axis="axisRow" showAll="0" measureFilter="1">
      <items count="101">
        <item x="46"/>
        <item x="42"/>
        <item x="92"/>
        <item x="63"/>
        <item x="82"/>
        <item x="59"/>
        <item x="73"/>
        <item x="34"/>
        <item x="76"/>
        <item x="24"/>
        <item x="88"/>
        <item x="4"/>
        <item x="79"/>
        <item x="2"/>
        <item x="48"/>
        <item x="83"/>
        <item x="65"/>
        <item x="70"/>
        <item x="67"/>
        <item x="60"/>
        <item x="57"/>
        <item x="99"/>
        <item x="39"/>
        <item x="85"/>
        <item x="89"/>
        <item x="94"/>
        <item x="68"/>
        <item x="95"/>
        <item x="43"/>
        <item x="45"/>
        <item x="41"/>
        <item x="27"/>
        <item x="97"/>
        <item x="54"/>
        <item x="53"/>
        <item x="91"/>
        <item x="29"/>
        <item x="56"/>
        <item x="71"/>
        <item x="44"/>
        <item x="26"/>
        <item x="64"/>
        <item x="0"/>
        <item x="36"/>
        <item x="52"/>
        <item x="77"/>
        <item x="37"/>
        <item x="93"/>
        <item x="23"/>
        <item x="20"/>
        <item x="66"/>
        <item x="19"/>
        <item x="96"/>
        <item x="84"/>
        <item x="98"/>
        <item x="90"/>
        <item x="49"/>
        <item x="18"/>
        <item x="87"/>
        <item x="58"/>
        <item x="51"/>
        <item x="17"/>
        <item x="25"/>
        <item x="55"/>
        <item x="16"/>
        <item x="62"/>
        <item x="69"/>
        <item x="35"/>
        <item x="15"/>
        <item x="78"/>
        <item x="74"/>
        <item x="31"/>
        <item x="14"/>
        <item x="72"/>
        <item x="40"/>
        <item x="13"/>
        <item x="28"/>
        <item x="12"/>
        <item x="38"/>
        <item x="11"/>
        <item x="10"/>
        <item x="9"/>
        <item x="21"/>
        <item x="8"/>
        <item x="86"/>
        <item x="32"/>
        <item x="33"/>
        <item x="7"/>
        <item x="6"/>
        <item x="47"/>
        <item x="5"/>
        <item x="22"/>
        <item x="3"/>
        <item x="50"/>
        <item x="1"/>
        <item x="81"/>
        <item x="30"/>
        <item x="61"/>
        <item x="80"/>
        <item x="75"/>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dataField="1" numFmtId="3" showAll="0"/>
    <pivotField numFmtId="3" showAll="0"/>
    <pivotField numFmtId="10" showAll="0"/>
    <pivotField numFmtId="10" showAll="0"/>
  </pivotFields>
  <rowFields count="1">
    <field x="1"/>
  </rowFields>
  <rowItems count="5">
    <i>
      <x v="24"/>
    </i>
    <i>
      <x v="26"/>
    </i>
    <i>
      <x v="54"/>
    </i>
    <i>
      <x v="57"/>
    </i>
    <i>
      <x v="80"/>
    </i>
  </rowItems>
  <colItems count="1">
    <i/>
  </colItems>
  <dataFields count="1">
    <dataField name="Total Sales " fld="8" baseField="1" baseItem="19" numFmtId="3"/>
  </dataFields>
  <pivotTableStyleInfo name="PivotStyleMedium15"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28739EB3-5C97-4BDA-A715-D9CFB8D474CB}" name="PivotTable1"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2" rowHeaderCaption="Sales Executive">
  <location ref="A3:B8" firstHeaderRow="1" firstDataRow="1" firstDataCol="1"/>
  <pivotFields count="12">
    <pivotField showAll="0"/>
    <pivotField axis="axisRow" showAll="0" measureFilter="1">
      <items count="101">
        <item x="46"/>
        <item x="42"/>
        <item x="92"/>
        <item x="63"/>
        <item x="82"/>
        <item x="59"/>
        <item x="73"/>
        <item x="34"/>
        <item x="76"/>
        <item x="24"/>
        <item x="88"/>
        <item x="4"/>
        <item x="79"/>
        <item x="2"/>
        <item x="48"/>
        <item x="83"/>
        <item x="65"/>
        <item x="70"/>
        <item x="67"/>
        <item x="60"/>
        <item x="57"/>
        <item x="99"/>
        <item x="39"/>
        <item x="85"/>
        <item x="89"/>
        <item x="94"/>
        <item x="68"/>
        <item x="95"/>
        <item x="43"/>
        <item x="45"/>
        <item x="41"/>
        <item x="27"/>
        <item x="97"/>
        <item x="54"/>
        <item x="53"/>
        <item x="91"/>
        <item x="29"/>
        <item x="56"/>
        <item x="71"/>
        <item x="44"/>
        <item x="26"/>
        <item x="64"/>
        <item x="0"/>
        <item x="36"/>
        <item x="52"/>
        <item x="77"/>
        <item x="37"/>
        <item x="93"/>
        <item x="23"/>
        <item x="20"/>
        <item x="66"/>
        <item x="19"/>
        <item x="96"/>
        <item x="84"/>
        <item x="98"/>
        <item x="90"/>
        <item x="49"/>
        <item x="18"/>
        <item x="87"/>
        <item x="58"/>
        <item x="51"/>
        <item x="17"/>
        <item x="25"/>
        <item x="55"/>
        <item x="16"/>
        <item x="62"/>
        <item x="69"/>
        <item x="35"/>
        <item x="15"/>
        <item x="78"/>
        <item x="74"/>
        <item x="31"/>
        <item x="14"/>
        <item x="72"/>
        <item x="40"/>
        <item x="13"/>
        <item x="28"/>
        <item x="12"/>
        <item x="38"/>
        <item x="11"/>
        <item x="10"/>
        <item x="9"/>
        <item x="21"/>
        <item x="8"/>
        <item x="86"/>
        <item x="32"/>
        <item x="33"/>
        <item x="7"/>
        <item x="6"/>
        <item x="47"/>
        <item x="5"/>
        <item x="22"/>
        <item x="3"/>
        <item x="50"/>
        <item x="1"/>
        <item x="81"/>
        <item x="30"/>
        <item x="61"/>
        <item x="80"/>
        <item x="75"/>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dataField="1" numFmtId="3" showAll="0"/>
    <pivotField numFmtId="3" showAll="0"/>
    <pivotField numFmtId="10" showAll="0"/>
    <pivotField numFmtId="10" showAll="0"/>
  </pivotFields>
  <rowFields count="1">
    <field x="1"/>
  </rowFields>
  <rowItems count="5">
    <i>
      <x v="3"/>
    </i>
    <i>
      <x v="13"/>
    </i>
    <i>
      <x v="19"/>
    </i>
    <i>
      <x v="20"/>
    </i>
    <i>
      <x v="29"/>
    </i>
  </rowItems>
  <colItems count="1">
    <i/>
  </colItems>
  <dataFields count="1">
    <dataField name="Total Sales " fld="8" baseField="1" baseItem="19" numFmtId="3"/>
  </dataFields>
  <chartFormats count="1">
    <chartFormat chart="0" format="0" series="1">
      <pivotArea type="data" outline="0" fieldPosition="0">
        <references count="1">
          <reference field="4294967294" count="1" selected="0">
            <x v="0"/>
          </reference>
        </references>
      </pivotArea>
    </chartFormat>
  </chartFormats>
  <pivotTableStyleInfo name="PivotStyleMedium15"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E544ACD9-1947-40D5-8DA3-B03ACBEC4B5B}" sourceName="Region">
  <pivotTables>
    <pivotTable tabId="3" name="PivotTable1"/>
    <pivotTable tabId="3" name="PivotTable2"/>
    <pivotTable tabId="3" name="PivotTable3"/>
    <pivotTable tabId="3" name="PivotTable4"/>
  </pivotTables>
  <data>
    <tabular pivotCacheId="1201314733">
      <items count="8">
        <i x="3"/>
        <i x="1"/>
        <i x="0"/>
        <i x="2" s="1"/>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60D5C2C0-7B7D-4453-8D49-F2FF5E521CCC}" cache="Slicer_Region" caption="Region" columnCount="8" showCaption="0" style="Slicer Style 1" rowHeight="2349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pivotTable" Target="../pivotTables/pivotTable3.xml"/><Relationship Id="rId7" Type="http://schemas.openxmlformats.org/officeDocument/2006/relationships/vmlDrawing" Target="../drawings/vmlDrawing1.vml"/><Relationship Id="rId12" Type="http://schemas.microsoft.com/office/2007/relationships/slicer" Target="../slicers/slicer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1.xml"/><Relationship Id="rId11" Type="http://schemas.openxmlformats.org/officeDocument/2006/relationships/ctrlProp" Target="../ctrlProps/ctrlProp4.xml"/><Relationship Id="rId5" Type="http://schemas.openxmlformats.org/officeDocument/2006/relationships/printerSettings" Target="../printerSettings/printerSettings1.bin"/><Relationship Id="rId10" Type="http://schemas.openxmlformats.org/officeDocument/2006/relationships/ctrlProp" Target="../ctrlProps/ctrlProp3.xml"/><Relationship Id="rId4" Type="http://schemas.openxmlformats.org/officeDocument/2006/relationships/pivotTable" Target="../pivotTables/pivotTable4.xml"/><Relationship Id="rId9"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40B6FA-F1BF-407C-A0A9-B42869F4139C}">
  <sheetPr codeName="Sheet1"/>
  <dimension ref="A1:K23"/>
  <sheetViews>
    <sheetView showGridLines="0" showRowColHeaders="0" tabSelected="1" zoomScale="154" workbookViewId="0">
      <selection activeCell="M6" sqref="M6"/>
    </sheetView>
  </sheetViews>
  <sheetFormatPr defaultRowHeight="14.4" x14ac:dyDescent="0.3"/>
  <cols>
    <col min="1" max="1" width="15.6640625" bestFit="1" customWidth="1"/>
    <col min="2" max="2" width="10.21875" bestFit="1" customWidth="1"/>
    <col min="3" max="3" width="3.33203125" customWidth="1"/>
    <col min="4" max="4" width="15.77734375" customWidth="1"/>
    <col min="7" max="7" width="13.33203125" bestFit="1" customWidth="1"/>
    <col min="8" max="8" width="15.21875" customWidth="1"/>
    <col min="9" max="9" width="2.5546875" customWidth="1"/>
    <col min="10" max="10" width="17.109375" customWidth="1"/>
    <col min="11" max="11" width="16.44140625" customWidth="1"/>
  </cols>
  <sheetData>
    <row r="1" spans="1:11" ht="28.8" customHeight="1" x14ac:dyDescent="0.3">
      <c r="A1" s="19" t="b">
        <v>1</v>
      </c>
      <c r="B1" s="19"/>
      <c r="C1" s="19"/>
      <c r="D1" s="19" t="b">
        <v>1</v>
      </c>
      <c r="E1" s="19"/>
      <c r="F1" s="19"/>
      <c r="G1" s="19" t="b">
        <v>0</v>
      </c>
      <c r="H1" s="19"/>
      <c r="I1" s="19"/>
      <c r="J1" s="19" t="b">
        <v>0</v>
      </c>
      <c r="K1" s="19"/>
    </row>
    <row r="2" spans="1:11" ht="53.4" customHeight="1" x14ac:dyDescent="0.3">
      <c r="A2" s="19"/>
      <c r="B2" s="19"/>
      <c r="C2" s="19"/>
      <c r="D2" s="19"/>
      <c r="E2" s="19"/>
      <c r="F2" s="19"/>
      <c r="G2" s="19"/>
      <c r="H2" s="19"/>
      <c r="I2" s="19"/>
      <c r="J2" s="19"/>
      <c r="K2" s="19"/>
    </row>
    <row r="3" spans="1:11" x14ac:dyDescent="0.3">
      <c r="A3" s="15" t="s">
        <v>1</v>
      </c>
      <c r="B3" t="s">
        <v>231</v>
      </c>
      <c r="C3" s="19"/>
      <c r="D3" s="15" t="s">
        <v>1</v>
      </c>
      <c r="E3" t="s">
        <v>231</v>
      </c>
      <c r="F3" s="19"/>
      <c r="G3" s="15" t="s">
        <v>1</v>
      </c>
      <c r="H3" t="s">
        <v>232</v>
      </c>
      <c r="I3" s="19"/>
      <c r="J3" s="15" t="s">
        <v>230</v>
      </c>
      <c r="K3" t="s">
        <v>233</v>
      </c>
    </row>
    <row r="4" spans="1:11" x14ac:dyDescent="0.3">
      <c r="A4" s="16" t="s">
        <v>147</v>
      </c>
      <c r="B4" s="17">
        <v>321</v>
      </c>
      <c r="C4" s="19"/>
      <c r="D4" s="16" t="s">
        <v>199</v>
      </c>
      <c r="E4" s="17">
        <v>205</v>
      </c>
      <c r="F4" s="19"/>
      <c r="G4" s="16" t="s">
        <v>147</v>
      </c>
      <c r="H4" s="18">
        <v>0.64200000000000002</v>
      </c>
      <c r="I4" s="19"/>
      <c r="J4" s="16" t="s">
        <v>199</v>
      </c>
      <c r="K4" s="18">
        <v>0.59000000000000008</v>
      </c>
    </row>
    <row r="5" spans="1:11" x14ac:dyDescent="0.3">
      <c r="A5" s="16" t="s">
        <v>19</v>
      </c>
      <c r="B5" s="17">
        <v>379</v>
      </c>
      <c r="C5" s="19"/>
      <c r="D5" s="16" t="s">
        <v>157</v>
      </c>
      <c r="E5" s="17">
        <v>174</v>
      </c>
      <c r="F5" s="19"/>
      <c r="G5" s="16" t="s">
        <v>19</v>
      </c>
      <c r="H5" s="18">
        <v>0.75800000000000001</v>
      </c>
      <c r="I5" s="19"/>
      <c r="J5" s="16" t="s">
        <v>157</v>
      </c>
      <c r="K5" s="18">
        <v>0.65200000000000002</v>
      </c>
    </row>
    <row r="6" spans="1:11" x14ac:dyDescent="0.3">
      <c r="A6" s="16" t="s">
        <v>141</v>
      </c>
      <c r="B6" s="17">
        <v>386</v>
      </c>
      <c r="C6" s="19"/>
      <c r="D6" s="16" t="s">
        <v>217</v>
      </c>
      <c r="E6" s="17">
        <v>239</v>
      </c>
      <c r="F6" s="19"/>
      <c r="G6" s="16" t="s">
        <v>141</v>
      </c>
      <c r="H6" s="18">
        <v>0.77200000000000002</v>
      </c>
      <c r="I6" s="19"/>
      <c r="J6" s="16" t="s">
        <v>217</v>
      </c>
      <c r="K6" s="18">
        <v>0.52200000000000002</v>
      </c>
    </row>
    <row r="7" spans="1:11" x14ac:dyDescent="0.3">
      <c r="A7" s="16" t="s">
        <v>135</v>
      </c>
      <c r="B7" s="17">
        <v>368</v>
      </c>
      <c r="C7" s="19"/>
      <c r="D7" s="16" t="s">
        <v>57</v>
      </c>
      <c r="E7" s="17">
        <v>252</v>
      </c>
      <c r="F7" s="19"/>
      <c r="G7" s="16" t="s">
        <v>135</v>
      </c>
      <c r="H7" s="18">
        <v>0.73599999999999999</v>
      </c>
      <c r="I7" s="19"/>
      <c r="J7" s="16" t="s">
        <v>57</v>
      </c>
      <c r="K7" s="18">
        <v>0.496</v>
      </c>
    </row>
    <row r="8" spans="1:11" x14ac:dyDescent="0.3">
      <c r="A8" s="16" t="s">
        <v>111</v>
      </c>
      <c r="B8" s="17">
        <v>352</v>
      </c>
      <c r="C8" s="19"/>
      <c r="D8" s="16" t="s">
        <v>41</v>
      </c>
      <c r="E8" s="17">
        <v>219</v>
      </c>
      <c r="F8" s="19"/>
      <c r="G8" s="16" t="s">
        <v>111</v>
      </c>
      <c r="H8" s="18">
        <v>0.70399999999999996</v>
      </c>
      <c r="I8" s="19"/>
      <c r="J8" s="16" t="s">
        <v>41</v>
      </c>
      <c r="K8" s="18">
        <v>0.56200000000000006</v>
      </c>
    </row>
    <row r="9" spans="1:11" x14ac:dyDescent="0.3">
      <c r="A9" s="19"/>
      <c r="B9" s="19"/>
      <c r="C9" s="19"/>
      <c r="F9" s="19"/>
      <c r="G9" s="19"/>
      <c r="H9" s="19"/>
      <c r="I9" s="19"/>
    </row>
    <row r="10" spans="1:11" x14ac:dyDescent="0.3">
      <c r="F10" s="19"/>
      <c r="G10" s="19"/>
      <c r="H10" s="19"/>
      <c r="I10" s="19"/>
      <c r="J10" s="19"/>
      <c r="K10" s="19"/>
    </row>
    <row r="11" spans="1:11" x14ac:dyDescent="0.3">
      <c r="F11" s="19"/>
      <c r="G11" s="19"/>
      <c r="H11" s="19"/>
      <c r="I11" s="19"/>
      <c r="J11" s="19"/>
      <c r="K11" s="19"/>
    </row>
    <row r="12" spans="1:11" x14ac:dyDescent="0.3">
      <c r="F12" s="19"/>
      <c r="G12" s="19"/>
      <c r="H12" s="19"/>
      <c r="I12" s="19"/>
      <c r="J12" s="19"/>
      <c r="K12" s="19"/>
    </row>
    <row r="13" spans="1:11" x14ac:dyDescent="0.3">
      <c r="F13" s="19"/>
      <c r="G13" s="19"/>
      <c r="H13" s="19"/>
      <c r="I13" s="19"/>
      <c r="J13" s="19"/>
      <c r="K13" s="19"/>
    </row>
    <row r="14" spans="1:11" x14ac:dyDescent="0.3">
      <c r="F14" s="19"/>
      <c r="G14" s="19"/>
      <c r="H14" s="19"/>
      <c r="I14" s="19"/>
      <c r="J14" s="19"/>
      <c r="K14" s="19"/>
    </row>
    <row r="15" spans="1:11" x14ac:dyDescent="0.3">
      <c r="F15" s="19"/>
      <c r="G15" s="19"/>
      <c r="H15" s="19"/>
      <c r="I15" s="19"/>
      <c r="J15" s="19"/>
      <c r="K15" s="19"/>
    </row>
    <row r="16" spans="1:11" x14ac:dyDescent="0.3">
      <c r="F16" s="19"/>
      <c r="G16" s="19"/>
      <c r="H16" s="19"/>
      <c r="I16" s="19"/>
      <c r="J16" s="19"/>
      <c r="K16" s="19"/>
    </row>
    <row r="17" spans="1:11" x14ac:dyDescent="0.3">
      <c r="F17" s="19"/>
      <c r="G17" s="19"/>
      <c r="H17" s="19"/>
      <c r="I17" s="19"/>
      <c r="J17" s="19"/>
      <c r="K17" s="19"/>
    </row>
    <row r="18" spans="1:11" x14ac:dyDescent="0.3">
      <c r="F18" s="19"/>
      <c r="G18" s="19"/>
      <c r="H18" s="19"/>
      <c r="I18" s="19"/>
      <c r="J18" s="19"/>
      <c r="K18" s="19"/>
    </row>
    <row r="19" spans="1:11" x14ac:dyDescent="0.3">
      <c r="F19" s="19"/>
      <c r="G19" s="19"/>
      <c r="H19" s="19"/>
      <c r="I19" s="19"/>
      <c r="J19" s="19"/>
      <c r="K19" s="19"/>
    </row>
    <row r="20" spans="1:11" x14ac:dyDescent="0.3">
      <c r="F20" s="19"/>
      <c r="G20" s="19"/>
      <c r="H20" s="19"/>
      <c r="I20" s="19"/>
      <c r="J20" s="19"/>
      <c r="K20" s="19"/>
    </row>
    <row r="21" spans="1:11" x14ac:dyDescent="0.3">
      <c r="A21" s="19"/>
      <c r="B21" s="19"/>
      <c r="C21" s="19"/>
      <c r="D21" s="19"/>
      <c r="E21" s="19"/>
      <c r="F21" s="19"/>
      <c r="G21" s="19"/>
      <c r="H21" s="19"/>
      <c r="I21" s="19"/>
      <c r="J21" s="19"/>
      <c r="K21" s="19"/>
    </row>
    <row r="22" spans="1:11" x14ac:dyDescent="0.3">
      <c r="A22" s="19"/>
      <c r="B22" s="19"/>
      <c r="C22" s="19"/>
      <c r="D22" s="19"/>
      <c r="E22" s="19"/>
      <c r="F22" s="19"/>
      <c r="G22" s="19"/>
      <c r="H22" s="19"/>
      <c r="I22" s="19"/>
      <c r="J22" s="19"/>
      <c r="K22" s="19"/>
    </row>
    <row r="23" spans="1:11" x14ac:dyDescent="0.3">
      <c r="A23" s="19"/>
      <c r="B23" s="19"/>
      <c r="C23" s="19"/>
      <c r="D23" s="19"/>
      <c r="E23" s="19"/>
      <c r="F23" s="19"/>
      <c r="G23" s="19"/>
      <c r="H23" s="19"/>
      <c r="I23" s="19"/>
      <c r="J23" s="19"/>
      <c r="K23" s="19"/>
    </row>
  </sheetData>
  <pageMargins left="0.7" right="0.7" top="0.75" bottom="0.75" header="0.3" footer="0.3"/>
  <pageSetup orientation="portrait" r:id="rId5"/>
  <drawing r:id="rId6"/>
  <legacyDrawing r:id="rId7"/>
  <mc:AlternateContent xmlns:mc="http://schemas.openxmlformats.org/markup-compatibility/2006">
    <mc:Choice Requires="x14">
      <controls>
        <mc:AlternateContent xmlns:mc="http://schemas.openxmlformats.org/markup-compatibility/2006">
          <mc:Choice Requires="x14">
            <control shapeId="1025" r:id="rId8" name="Check Box 1">
              <controlPr defaultSize="0" autoFill="0" autoLine="0" autoPict="0" macro="[0]!Macro2">
                <anchor moveWithCells="1">
                  <from>
                    <xdr:col>0</xdr:col>
                    <xdr:colOff>220980</xdr:colOff>
                    <xdr:row>1</xdr:row>
                    <xdr:rowOff>243840</xdr:rowOff>
                  </from>
                  <to>
                    <xdr:col>1</xdr:col>
                    <xdr:colOff>266700</xdr:colOff>
                    <xdr:row>1</xdr:row>
                    <xdr:rowOff>563880</xdr:rowOff>
                  </to>
                </anchor>
              </controlPr>
            </control>
          </mc:Choice>
        </mc:AlternateContent>
        <mc:AlternateContent xmlns:mc="http://schemas.openxmlformats.org/markup-compatibility/2006">
          <mc:Choice Requires="x14">
            <control shapeId="1026" r:id="rId9" name="Check Box 2">
              <controlPr defaultSize="0" autoFill="0" autoLine="0" autoPict="0" macro="[0]!Macro2">
                <anchor moveWithCells="1">
                  <from>
                    <xdr:col>3</xdr:col>
                    <xdr:colOff>106680</xdr:colOff>
                    <xdr:row>1</xdr:row>
                    <xdr:rowOff>327660</xdr:rowOff>
                  </from>
                  <to>
                    <xdr:col>4</xdr:col>
                    <xdr:colOff>144780</xdr:colOff>
                    <xdr:row>1</xdr:row>
                    <xdr:rowOff>556260</xdr:rowOff>
                  </to>
                </anchor>
              </controlPr>
            </control>
          </mc:Choice>
        </mc:AlternateContent>
        <mc:AlternateContent xmlns:mc="http://schemas.openxmlformats.org/markup-compatibility/2006">
          <mc:Choice Requires="x14">
            <control shapeId="1029" r:id="rId10" name="Check Box 5">
              <controlPr defaultSize="0" autoFill="0" autoLine="0" autoPict="0" macro="[0]!Macro2">
                <anchor moveWithCells="1">
                  <from>
                    <xdr:col>6</xdr:col>
                    <xdr:colOff>251460</xdr:colOff>
                    <xdr:row>1</xdr:row>
                    <xdr:rowOff>320040</xdr:rowOff>
                  </from>
                  <to>
                    <xdr:col>7</xdr:col>
                    <xdr:colOff>350520</xdr:colOff>
                    <xdr:row>1</xdr:row>
                    <xdr:rowOff>541020</xdr:rowOff>
                  </to>
                </anchor>
              </controlPr>
            </control>
          </mc:Choice>
        </mc:AlternateContent>
        <mc:AlternateContent xmlns:mc="http://schemas.openxmlformats.org/markup-compatibility/2006">
          <mc:Choice Requires="x14">
            <control shapeId="1030" r:id="rId11" name="Check Box 6">
              <controlPr defaultSize="0" autoFill="0" autoLine="0" autoPict="0" macro="[0]!Macro2">
                <anchor moveWithCells="1">
                  <from>
                    <xdr:col>9</xdr:col>
                    <xdr:colOff>220980</xdr:colOff>
                    <xdr:row>1</xdr:row>
                    <xdr:rowOff>320040</xdr:rowOff>
                  </from>
                  <to>
                    <xdr:col>10</xdr:col>
                    <xdr:colOff>228600</xdr:colOff>
                    <xdr:row>1</xdr:row>
                    <xdr:rowOff>541020</xdr:rowOff>
                  </to>
                </anchor>
              </controlPr>
            </control>
          </mc:Choice>
        </mc:AlternateContent>
      </controls>
    </mc:Choice>
  </mc:AlternateContent>
  <extLst>
    <ext xmlns:x14="http://schemas.microsoft.com/office/spreadsheetml/2009/9/main" uri="{A8765BA9-456A-4dab-B4F3-ACF838C121DE}">
      <x14:slicerList>
        <x14:slicer r:id="rId1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L101"/>
  <sheetViews>
    <sheetView showGridLines="0" workbookViewId="0">
      <pane xSplit="3" ySplit="1" topLeftCell="D2" activePane="bottomRight" state="frozen"/>
      <selection pane="topRight"/>
      <selection pane="bottomLeft"/>
      <selection pane="bottomRight" activeCell="F109" sqref="F109"/>
    </sheetView>
  </sheetViews>
  <sheetFormatPr defaultRowHeight="14.4" x14ac:dyDescent="0.3"/>
  <cols>
    <col min="1" max="1" width="17" customWidth="1"/>
    <col min="2" max="2" width="24" customWidth="1"/>
    <col min="3" max="3" width="15" customWidth="1"/>
    <col min="4" max="8" width="10" customWidth="1"/>
    <col min="9" max="9" width="14" customWidth="1"/>
    <col min="10" max="10" width="12" customWidth="1"/>
    <col min="11" max="11" width="15" customWidth="1"/>
    <col min="12" max="12" width="21" customWidth="1"/>
  </cols>
  <sheetData>
    <row r="1" spans="1:12" ht="34.049999999999997" customHeight="1" x14ac:dyDescent="0.3">
      <c r="A1" s="1" t="s">
        <v>0</v>
      </c>
      <c r="B1" s="1" t="s">
        <v>1</v>
      </c>
      <c r="C1" s="1" t="s">
        <v>2</v>
      </c>
      <c r="D1" s="1" t="s">
        <v>3</v>
      </c>
      <c r="E1" s="1" t="s">
        <v>4</v>
      </c>
      <c r="F1" s="1" t="s">
        <v>5</v>
      </c>
      <c r="G1" s="1" t="s">
        <v>6</v>
      </c>
      <c r="H1" s="1" t="s">
        <v>7</v>
      </c>
      <c r="I1" s="1" t="s">
        <v>8</v>
      </c>
      <c r="J1" s="1" t="s">
        <v>9</v>
      </c>
      <c r="K1" s="1" t="s">
        <v>10</v>
      </c>
      <c r="L1" s="1" t="s">
        <v>11</v>
      </c>
    </row>
    <row r="2" spans="1:12" ht="22.05" customHeight="1" x14ac:dyDescent="0.3">
      <c r="A2" s="2" t="s">
        <v>12</v>
      </c>
      <c r="B2" s="2" t="s">
        <v>13</v>
      </c>
      <c r="C2" s="2" t="s">
        <v>14</v>
      </c>
      <c r="D2" s="3">
        <v>49</v>
      </c>
      <c r="E2" s="3">
        <v>84</v>
      </c>
      <c r="F2" s="3">
        <v>98</v>
      </c>
      <c r="G2" s="3">
        <v>67</v>
      </c>
      <c r="H2" s="3">
        <v>41</v>
      </c>
      <c r="I2" s="4">
        <f t="shared" ref="I2:I33" si="0">SUM(D2:H2)</f>
        <v>339</v>
      </c>
      <c r="J2" s="5">
        <v>500</v>
      </c>
      <c r="K2" s="6">
        <f t="shared" ref="K2:K33" si="1">I2/J2</f>
        <v>0.67800000000000005</v>
      </c>
      <c r="L2" s="7">
        <f t="shared" ref="L2:L33" si="2">1-K2</f>
        <v>0.32199999999999995</v>
      </c>
    </row>
    <row r="3" spans="1:12" ht="22.05" customHeight="1" x14ac:dyDescent="0.3">
      <c r="A3" s="8" t="s">
        <v>15</v>
      </c>
      <c r="B3" s="8" t="s">
        <v>16</v>
      </c>
      <c r="C3" s="8" t="s">
        <v>17</v>
      </c>
      <c r="D3" s="3">
        <v>44</v>
      </c>
      <c r="E3" s="3">
        <v>85</v>
      </c>
      <c r="F3" s="3">
        <v>47</v>
      </c>
      <c r="G3" s="3">
        <v>15</v>
      </c>
      <c r="H3" s="3">
        <v>48</v>
      </c>
      <c r="I3" s="9">
        <f t="shared" si="0"/>
        <v>239</v>
      </c>
      <c r="J3" s="10">
        <v>500</v>
      </c>
      <c r="K3" s="11">
        <f t="shared" si="1"/>
        <v>0.47799999999999998</v>
      </c>
      <c r="L3" s="12">
        <f t="shared" si="2"/>
        <v>0.52200000000000002</v>
      </c>
    </row>
    <row r="4" spans="1:12" ht="22.05" customHeight="1" x14ac:dyDescent="0.3">
      <c r="A4" s="2" t="s">
        <v>18</v>
      </c>
      <c r="B4" s="2" t="s">
        <v>19</v>
      </c>
      <c r="C4" s="2" t="s">
        <v>20</v>
      </c>
      <c r="D4" s="3">
        <v>45</v>
      </c>
      <c r="E4" s="3">
        <v>79</v>
      </c>
      <c r="F4" s="3">
        <v>88</v>
      </c>
      <c r="G4" s="3">
        <v>73</v>
      </c>
      <c r="H4" s="3">
        <v>94</v>
      </c>
      <c r="I4" s="4">
        <f t="shared" si="0"/>
        <v>379</v>
      </c>
      <c r="J4" s="5">
        <v>500</v>
      </c>
      <c r="K4" s="6">
        <f t="shared" si="1"/>
        <v>0.75800000000000001</v>
      </c>
      <c r="L4" s="7">
        <f t="shared" si="2"/>
        <v>0.24199999999999999</v>
      </c>
    </row>
    <row r="5" spans="1:12" ht="22.05" customHeight="1" x14ac:dyDescent="0.3">
      <c r="A5" s="8" t="s">
        <v>21</v>
      </c>
      <c r="B5" s="8" t="s">
        <v>22</v>
      </c>
      <c r="C5" s="8" t="s">
        <v>23</v>
      </c>
      <c r="D5" s="3">
        <v>52</v>
      </c>
      <c r="E5" s="3">
        <v>99</v>
      </c>
      <c r="F5" s="3">
        <v>13</v>
      </c>
      <c r="G5" s="3">
        <v>95</v>
      </c>
      <c r="H5" s="3">
        <v>29</v>
      </c>
      <c r="I5" s="9">
        <f t="shared" si="0"/>
        <v>288</v>
      </c>
      <c r="J5" s="10">
        <v>500</v>
      </c>
      <c r="K5" s="11">
        <f t="shared" si="1"/>
        <v>0.57599999999999996</v>
      </c>
      <c r="L5" s="12">
        <f t="shared" si="2"/>
        <v>0.42400000000000004</v>
      </c>
    </row>
    <row r="6" spans="1:12" ht="22.05" customHeight="1" x14ac:dyDescent="0.3">
      <c r="A6" s="2" t="s">
        <v>24</v>
      </c>
      <c r="B6" s="2" t="s">
        <v>25</v>
      </c>
      <c r="C6" s="2" t="s">
        <v>26</v>
      </c>
      <c r="D6" s="3">
        <v>35</v>
      </c>
      <c r="E6" s="3">
        <v>54</v>
      </c>
      <c r="F6" s="3">
        <v>49</v>
      </c>
      <c r="G6" s="3">
        <v>26</v>
      </c>
      <c r="H6" s="3">
        <v>49</v>
      </c>
      <c r="I6" s="4">
        <f t="shared" si="0"/>
        <v>213</v>
      </c>
      <c r="J6" s="5">
        <v>500</v>
      </c>
      <c r="K6" s="6">
        <f t="shared" si="1"/>
        <v>0.42599999999999999</v>
      </c>
      <c r="L6" s="7">
        <f t="shared" si="2"/>
        <v>0.57400000000000007</v>
      </c>
    </row>
    <row r="7" spans="1:12" ht="22.05" customHeight="1" x14ac:dyDescent="0.3">
      <c r="A7" s="8" t="s">
        <v>27</v>
      </c>
      <c r="B7" s="8" t="s">
        <v>28</v>
      </c>
      <c r="C7" s="8" t="s">
        <v>29</v>
      </c>
      <c r="D7" s="3">
        <v>86</v>
      </c>
      <c r="E7" s="3">
        <v>31</v>
      </c>
      <c r="F7" s="3">
        <v>23</v>
      </c>
      <c r="G7" s="3">
        <v>48</v>
      </c>
      <c r="H7" s="3">
        <v>77</v>
      </c>
      <c r="I7" s="9">
        <f t="shared" si="0"/>
        <v>265</v>
      </c>
      <c r="J7" s="10">
        <v>500</v>
      </c>
      <c r="K7" s="11">
        <f t="shared" si="1"/>
        <v>0.53</v>
      </c>
      <c r="L7" s="12">
        <f t="shared" si="2"/>
        <v>0.47</v>
      </c>
    </row>
    <row r="8" spans="1:12" ht="22.05" customHeight="1" x14ac:dyDescent="0.3">
      <c r="A8" s="2" t="s">
        <v>30</v>
      </c>
      <c r="B8" s="2" t="s">
        <v>31</v>
      </c>
      <c r="C8" s="2" t="s">
        <v>32</v>
      </c>
      <c r="D8" s="3">
        <v>84</v>
      </c>
      <c r="E8" s="3">
        <v>28</v>
      </c>
      <c r="F8" s="3">
        <v>98</v>
      </c>
      <c r="G8" s="3">
        <v>80</v>
      </c>
      <c r="H8" s="3">
        <v>79</v>
      </c>
      <c r="I8" s="4">
        <f t="shared" si="0"/>
        <v>369</v>
      </c>
      <c r="J8" s="5">
        <v>500</v>
      </c>
      <c r="K8" s="6">
        <f t="shared" si="1"/>
        <v>0.73799999999999999</v>
      </c>
      <c r="L8" s="7">
        <f t="shared" si="2"/>
        <v>0.26200000000000001</v>
      </c>
    </row>
    <row r="9" spans="1:12" ht="22.05" customHeight="1" x14ac:dyDescent="0.3">
      <c r="A9" s="8" t="s">
        <v>33</v>
      </c>
      <c r="B9" s="8" t="s">
        <v>34</v>
      </c>
      <c r="C9" s="8" t="s">
        <v>35</v>
      </c>
      <c r="D9" s="3">
        <v>73</v>
      </c>
      <c r="E9" s="3">
        <v>97</v>
      </c>
      <c r="F9" s="3">
        <v>38</v>
      </c>
      <c r="G9" s="3">
        <v>24</v>
      </c>
      <c r="H9" s="3">
        <v>53</v>
      </c>
      <c r="I9" s="9">
        <f t="shared" si="0"/>
        <v>285</v>
      </c>
      <c r="J9" s="10">
        <v>500</v>
      </c>
      <c r="K9" s="11">
        <f t="shared" si="1"/>
        <v>0.56999999999999995</v>
      </c>
      <c r="L9" s="12">
        <f t="shared" si="2"/>
        <v>0.43000000000000005</v>
      </c>
    </row>
    <row r="10" spans="1:12" ht="22.05" customHeight="1" x14ac:dyDescent="0.3">
      <c r="A10" s="2" t="s">
        <v>36</v>
      </c>
      <c r="B10" s="2" t="s">
        <v>37</v>
      </c>
      <c r="C10" s="2" t="s">
        <v>14</v>
      </c>
      <c r="D10" s="3">
        <v>54</v>
      </c>
      <c r="E10" s="3">
        <v>26</v>
      </c>
      <c r="F10" s="3">
        <v>53</v>
      </c>
      <c r="G10" s="3">
        <v>36</v>
      </c>
      <c r="H10" s="3">
        <v>20</v>
      </c>
      <c r="I10" s="4">
        <f t="shared" si="0"/>
        <v>189</v>
      </c>
      <c r="J10" s="5">
        <v>500</v>
      </c>
      <c r="K10" s="6">
        <f t="shared" si="1"/>
        <v>0.378</v>
      </c>
      <c r="L10" s="7">
        <f t="shared" si="2"/>
        <v>0.622</v>
      </c>
    </row>
    <row r="11" spans="1:12" ht="22.05" customHeight="1" x14ac:dyDescent="0.3">
      <c r="A11" s="8" t="s">
        <v>38</v>
      </c>
      <c r="B11" s="8" t="s">
        <v>39</v>
      </c>
      <c r="C11" s="8" t="s">
        <v>17</v>
      </c>
      <c r="D11" s="3">
        <v>52</v>
      </c>
      <c r="E11" s="3">
        <v>52</v>
      </c>
      <c r="F11" s="3">
        <v>19</v>
      </c>
      <c r="G11" s="3">
        <v>53</v>
      </c>
      <c r="H11" s="3">
        <v>37</v>
      </c>
      <c r="I11" s="9">
        <f t="shared" si="0"/>
        <v>213</v>
      </c>
      <c r="J11" s="10">
        <v>500</v>
      </c>
      <c r="K11" s="11">
        <f t="shared" si="1"/>
        <v>0.42599999999999999</v>
      </c>
      <c r="L11" s="12">
        <f t="shared" si="2"/>
        <v>0.57400000000000007</v>
      </c>
    </row>
    <row r="12" spans="1:12" ht="22.05" customHeight="1" x14ac:dyDescent="0.3">
      <c r="A12" s="2" t="s">
        <v>40</v>
      </c>
      <c r="B12" s="2" t="s">
        <v>41</v>
      </c>
      <c r="C12" s="2" t="s">
        <v>20</v>
      </c>
      <c r="D12" s="3">
        <v>63</v>
      </c>
      <c r="E12" s="3">
        <v>17</v>
      </c>
      <c r="F12" s="3">
        <v>40</v>
      </c>
      <c r="G12" s="3">
        <v>48</v>
      </c>
      <c r="H12" s="3">
        <v>51</v>
      </c>
      <c r="I12" s="4">
        <f t="shared" si="0"/>
        <v>219</v>
      </c>
      <c r="J12" s="5">
        <v>500</v>
      </c>
      <c r="K12" s="6">
        <f t="shared" si="1"/>
        <v>0.438</v>
      </c>
      <c r="L12" s="7">
        <f t="shared" si="2"/>
        <v>0.56200000000000006</v>
      </c>
    </row>
    <row r="13" spans="1:12" ht="22.05" customHeight="1" x14ac:dyDescent="0.3">
      <c r="A13" s="8" t="s">
        <v>42</v>
      </c>
      <c r="B13" s="8" t="s">
        <v>43</v>
      </c>
      <c r="C13" s="8" t="s">
        <v>23</v>
      </c>
      <c r="D13" s="3">
        <v>79</v>
      </c>
      <c r="E13" s="3">
        <v>99</v>
      </c>
      <c r="F13" s="3">
        <v>95</v>
      </c>
      <c r="G13" s="3">
        <v>12</v>
      </c>
      <c r="H13" s="3">
        <v>91</v>
      </c>
      <c r="I13" s="9">
        <f t="shared" si="0"/>
        <v>376</v>
      </c>
      <c r="J13" s="10">
        <v>500</v>
      </c>
      <c r="K13" s="11">
        <f t="shared" si="1"/>
        <v>0.752</v>
      </c>
      <c r="L13" s="12">
        <f t="shared" si="2"/>
        <v>0.248</v>
      </c>
    </row>
    <row r="14" spans="1:12" ht="22.05" customHeight="1" x14ac:dyDescent="0.3">
      <c r="A14" s="2" t="s">
        <v>44</v>
      </c>
      <c r="B14" s="2" t="s">
        <v>45</v>
      </c>
      <c r="C14" s="2" t="s">
        <v>26</v>
      </c>
      <c r="D14" s="3">
        <v>95</v>
      </c>
      <c r="E14" s="3">
        <v>88</v>
      </c>
      <c r="F14" s="3">
        <v>11</v>
      </c>
      <c r="G14" s="3">
        <v>78</v>
      </c>
      <c r="H14" s="3">
        <v>60</v>
      </c>
      <c r="I14" s="4">
        <f t="shared" si="0"/>
        <v>332</v>
      </c>
      <c r="J14" s="5">
        <v>500</v>
      </c>
      <c r="K14" s="6">
        <f t="shared" si="1"/>
        <v>0.66400000000000003</v>
      </c>
      <c r="L14" s="7">
        <f t="shared" si="2"/>
        <v>0.33599999999999997</v>
      </c>
    </row>
    <row r="15" spans="1:12" ht="22.05" customHeight="1" x14ac:dyDescent="0.3">
      <c r="A15" s="8" t="s">
        <v>46</v>
      </c>
      <c r="B15" s="8" t="s">
        <v>47</v>
      </c>
      <c r="C15" s="8" t="s">
        <v>29</v>
      </c>
      <c r="D15" s="3">
        <v>83</v>
      </c>
      <c r="E15" s="3">
        <v>77</v>
      </c>
      <c r="F15" s="3">
        <v>66</v>
      </c>
      <c r="G15" s="3">
        <v>22</v>
      </c>
      <c r="H15" s="3">
        <v>40</v>
      </c>
      <c r="I15" s="9">
        <f t="shared" si="0"/>
        <v>288</v>
      </c>
      <c r="J15" s="10">
        <v>500</v>
      </c>
      <c r="K15" s="11">
        <f t="shared" si="1"/>
        <v>0.57599999999999996</v>
      </c>
      <c r="L15" s="12">
        <f t="shared" si="2"/>
        <v>0.42400000000000004</v>
      </c>
    </row>
    <row r="16" spans="1:12" ht="22.05" customHeight="1" x14ac:dyDescent="0.3">
      <c r="A16" s="2" t="s">
        <v>48</v>
      </c>
      <c r="B16" s="2" t="s">
        <v>49</v>
      </c>
      <c r="C16" s="2" t="s">
        <v>32</v>
      </c>
      <c r="D16" s="3">
        <v>78</v>
      </c>
      <c r="E16" s="3">
        <v>58</v>
      </c>
      <c r="F16" s="3">
        <v>34</v>
      </c>
      <c r="G16" s="3">
        <v>84</v>
      </c>
      <c r="H16" s="3">
        <v>31</v>
      </c>
      <c r="I16" s="4">
        <f t="shared" si="0"/>
        <v>285</v>
      </c>
      <c r="J16" s="5">
        <v>500</v>
      </c>
      <c r="K16" s="6">
        <f t="shared" si="1"/>
        <v>0.56999999999999995</v>
      </c>
      <c r="L16" s="7">
        <f t="shared" si="2"/>
        <v>0.43000000000000005</v>
      </c>
    </row>
    <row r="17" spans="1:12" ht="22.05" customHeight="1" x14ac:dyDescent="0.3">
      <c r="A17" s="8" t="s">
        <v>50</v>
      </c>
      <c r="B17" s="8" t="s">
        <v>51</v>
      </c>
      <c r="C17" s="8" t="s">
        <v>35</v>
      </c>
      <c r="D17" s="3">
        <v>14</v>
      </c>
      <c r="E17" s="3">
        <v>25</v>
      </c>
      <c r="F17" s="3">
        <v>45</v>
      </c>
      <c r="G17" s="3">
        <v>70</v>
      </c>
      <c r="H17" s="3">
        <v>45</v>
      </c>
      <c r="I17" s="9">
        <f t="shared" si="0"/>
        <v>199</v>
      </c>
      <c r="J17" s="10">
        <v>500</v>
      </c>
      <c r="K17" s="11">
        <f t="shared" si="1"/>
        <v>0.39800000000000002</v>
      </c>
      <c r="L17" s="12">
        <f t="shared" si="2"/>
        <v>0.60199999999999998</v>
      </c>
    </row>
    <row r="18" spans="1:12" ht="22.05" customHeight="1" x14ac:dyDescent="0.3">
      <c r="A18" s="2" t="s">
        <v>52</v>
      </c>
      <c r="B18" s="2" t="s">
        <v>53</v>
      </c>
      <c r="C18" s="2" t="s">
        <v>14</v>
      </c>
      <c r="D18" s="3">
        <v>37</v>
      </c>
      <c r="E18" s="3">
        <v>69</v>
      </c>
      <c r="F18" s="3">
        <v>96</v>
      </c>
      <c r="G18" s="3">
        <v>66</v>
      </c>
      <c r="H18" s="3">
        <v>38</v>
      </c>
      <c r="I18" s="4">
        <f t="shared" si="0"/>
        <v>306</v>
      </c>
      <c r="J18" s="5">
        <v>500</v>
      </c>
      <c r="K18" s="6">
        <f t="shared" si="1"/>
        <v>0.61199999999999999</v>
      </c>
      <c r="L18" s="7">
        <f t="shared" si="2"/>
        <v>0.38800000000000001</v>
      </c>
    </row>
    <row r="19" spans="1:12" ht="22.05" customHeight="1" x14ac:dyDescent="0.3">
      <c r="A19" s="8" t="s">
        <v>54</v>
      </c>
      <c r="B19" s="8" t="s">
        <v>55</v>
      </c>
      <c r="C19" s="8" t="s">
        <v>17</v>
      </c>
      <c r="D19" s="3">
        <v>11</v>
      </c>
      <c r="E19" s="3">
        <v>46</v>
      </c>
      <c r="F19" s="3">
        <v>91</v>
      </c>
      <c r="G19" s="3">
        <v>98</v>
      </c>
      <c r="H19" s="3">
        <v>45</v>
      </c>
      <c r="I19" s="9">
        <f t="shared" si="0"/>
        <v>291</v>
      </c>
      <c r="J19" s="10">
        <v>500</v>
      </c>
      <c r="K19" s="11">
        <f t="shared" si="1"/>
        <v>0.58199999999999996</v>
      </c>
      <c r="L19" s="12">
        <f t="shared" si="2"/>
        <v>0.41800000000000004</v>
      </c>
    </row>
    <row r="20" spans="1:12" ht="22.05" customHeight="1" x14ac:dyDescent="0.3">
      <c r="A20" s="2" t="s">
        <v>56</v>
      </c>
      <c r="B20" s="2" t="s">
        <v>57</v>
      </c>
      <c r="C20" s="2" t="s">
        <v>20</v>
      </c>
      <c r="D20" s="3">
        <v>19</v>
      </c>
      <c r="E20" s="3">
        <v>34</v>
      </c>
      <c r="F20" s="3">
        <v>64</v>
      </c>
      <c r="G20" s="3">
        <v>65</v>
      </c>
      <c r="H20" s="3">
        <v>70</v>
      </c>
      <c r="I20" s="4">
        <f t="shared" si="0"/>
        <v>252</v>
      </c>
      <c r="J20" s="5">
        <v>500</v>
      </c>
      <c r="K20" s="6">
        <f t="shared" si="1"/>
        <v>0.504</v>
      </c>
      <c r="L20" s="7">
        <f t="shared" si="2"/>
        <v>0.496</v>
      </c>
    </row>
    <row r="21" spans="1:12" ht="22.05" customHeight="1" x14ac:dyDescent="0.3">
      <c r="A21" s="8" t="s">
        <v>58</v>
      </c>
      <c r="B21" s="8" t="s">
        <v>59</v>
      </c>
      <c r="C21" s="8" t="s">
        <v>23</v>
      </c>
      <c r="D21" s="3">
        <v>93</v>
      </c>
      <c r="E21" s="3">
        <v>84</v>
      </c>
      <c r="F21" s="3">
        <v>13</v>
      </c>
      <c r="G21" s="3">
        <v>45</v>
      </c>
      <c r="H21" s="3">
        <v>18</v>
      </c>
      <c r="I21" s="9">
        <f t="shared" si="0"/>
        <v>253</v>
      </c>
      <c r="J21" s="10">
        <v>500</v>
      </c>
      <c r="K21" s="11">
        <f t="shared" si="1"/>
        <v>0.50600000000000001</v>
      </c>
      <c r="L21" s="12">
        <f t="shared" si="2"/>
        <v>0.49399999999999999</v>
      </c>
    </row>
    <row r="22" spans="1:12" ht="22.05" customHeight="1" x14ac:dyDescent="0.3">
      <c r="A22" s="2" t="s">
        <v>60</v>
      </c>
      <c r="B22" s="2" t="s">
        <v>61</v>
      </c>
      <c r="C22" s="2" t="s">
        <v>26</v>
      </c>
      <c r="D22" s="3">
        <v>68</v>
      </c>
      <c r="E22" s="3">
        <v>73</v>
      </c>
      <c r="F22" s="3">
        <v>97</v>
      </c>
      <c r="G22" s="3">
        <v>76</v>
      </c>
      <c r="H22" s="3">
        <v>53</v>
      </c>
      <c r="I22" s="4">
        <f t="shared" si="0"/>
        <v>367</v>
      </c>
      <c r="J22" s="5">
        <v>500</v>
      </c>
      <c r="K22" s="6">
        <f t="shared" si="1"/>
        <v>0.73399999999999999</v>
      </c>
      <c r="L22" s="7">
        <f t="shared" si="2"/>
        <v>0.26600000000000001</v>
      </c>
    </row>
    <row r="23" spans="1:12" ht="22.05" customHeight="1" x14ac:dyDescent="0.3">
      <c r="A23" s="8" t="s">
        <v>62</v>
      </c>
      <c r="B23" s="8" t="s">
        <v>63</v>
      </c>
      <c r="C23" s="8" t="s">
        <v>23</v>
      </c>
      <c r="D23" s="3">
        <v>96</v>
      </c>
      <c r="E23" s="3">
        <v>27</v>
      </c>
      <c r="F23" s="3">
        <v>72</v>
      </c>
      <c r="G23" s="3">
        <v>61</v>
      </c>
      <c r="H23" s="3">
        <v>79</v>
      </c>
      <c r="I23" s="9">
        <f t="shared" si="0"/>
        <v>335</v>
      </c>
      <c r="J23" s="10">
        <v>500</v>
      </c>
      <c r="K23" s="11">
        <f t="shared" si="1"/>
        <v>0.67</v>
      </c>
      <c r="L23" s="12">
        <f t="shared" si="2"/>
        <v>0.32999999999999996</v>
      </c>
    </row>
    <row r="24" spans="1:12" ht="22.05" customHeight="1" x14ac:dyDescent="0.3">
      <c r="A24" s="2" t="s">
        <v>64</v>
      </c>
      <c r="B24" s="2" t="s">
        <v>65</v>
      </c>
      <c r="C24" s="2" t="s">
        <v>32</v>
      </c>
      <c r="D24" s="3">
        <v>84</v>
      </c>
      <c r="E24" s="3">
        <v>55</v>
      </c>
      <c r="F24" s="3">
        <v>52</v>
      </c>
      <c r="G24" s="3">
        <v>53</v>
      </c>
      <c r="H24" s="3">
        <v>34</v>
      </c>
      <c r="I24" s="4">
        <f t="shared" si="0"/>
        <v>278</v>
      </c>
      <c r="J24" s="5">
        <v>500</v>
      </c>
      <c r="K24" s="6">
        <f t="shared" si="1"/>
        <v>0.55600000000000005</v>
      </c>
      <c r="L24" s="7">
        <f t="shared" si="2"/>
        <v>0.44399999999999995</v>
      </c>
    </row>
    <row r="25" spans="1:12" ht="22.05" customHeight="1" x14ac:dyDescent="0.3">
      <c r="A25" s="8" t="s">
        <v>66</v>
      </c>
      <c r="B25" s="8" t="s">
        <v>67</v>
      </c>
      <c r="C25" s="8" t="s">
        <v>35</v>
      </c>
      <c r="D25" s="3">
        <v>53</v>
      </c>
      <c r="E25" s="3">
        <v>98</v>
      </c>
      <c r="F25" s="3">
        <v>97</v>
      </c>
      <c r="G25" s="3">
        <v>57</v>
      </c>
      <c r="H25" s="3">
        <v>16</v>
      </c>
      <c r="I25" s="9">
        <f t="shared" si="0"/>
        <v>321</v>
      </c>
      <c r="J25" s="10">
        <v>500</v>
      </c>
      <c r="K25" s="11">
        <f t="shared" si="1"/>
        <v>0.64200000000000002</v>
      </c>
      <c r="L25" s="12">
        <f t="shared" si="2"/>
        <v>0.35799999999999998</v>
      </c>
    </row>
    <row r="26" spans="1:12" ht="22.05" customHeight="1" x14ac:dyDescent="0.3">
      <c r="A26" s="2" t="s">
        <v>68</v>
      </c>
      <c r="B26" s="2" t="s">
        <v>69</v>
      </c>
      <c r="C26" s="2" t="s">
        <v>23</v>
      </c>
      <c r="D26" s="3">
        <v>73</v>
      </c>
      <c r="E26" s="3">
        <v>26</v>
      </c>
      <c r="F26" s="3">
        <v>59</v>
      </c>
      <c r="G26" s="3">
        <v>62</v>
      </c>
      <c r="H26" s="3">
        <v>49</v>
      </c>
      <c r="I26" s="4">
        <f t="shared" si="0"/>
        <v>269</v>
      </c>
      <c r="J26" s="5">
        <v>500</v>
      </c>
      <c r="K26" s="6">
        <f t="shared" si="1"/>
        <v>0.53800000000000003</v>
      </c>
      <c r="L26" s="7">
        <f t="shared" si="2"/>
        <v>0.46199999999999997</v>
      </c>
    </row>
    <row r="27" spans="1:12" ht="22.05" customHeight="1" x14ac:dyDescent="0.3">
      <c r="A27" s="8" t="s">
        <v>70</v>
      </c>
      <c r="B27" s="8" t="s">
        <v>71</v>
      </c>
      <c r="C27" s="8" t="s">
        <v>32</v>
      </c>
      <c r="D27" s="3">
        <v>65</v>
      </c>
      <c r="E27" s="3">
        <v>51</v>
      </c>
      <c r="F27" s="3">
        <v>46</v>
      </c>
      <c r="G27" s="3">
        <v>18</v>
      </c>
      <c r="H27" s="3">
        <v>53</v>
      </c>
      <c r="I27" s="9">
        <f t="shared" si="0"/>
        <v>233</v>
      </c>
      <c r="J27" s="10">
        <v>500</v>
      </c>
      <c r="K27" s="11">
        <f t="shared" si="1"/>
        <v>0.46600000000000003</v>
      </c>
      <c r="L27" s="12">
        <f t="shared" si="2"/>
        <v>0.53400000000000003</v>
      </c>
    </row>
    <row r="28" spans="1:12" ht="22.05" customHeight="1" x14ac:dyDescent="0.3">
      <c r="A28" s="2" t="s">
        <v>72</v>
      </c>
      <c r="B28" s="2" t="s">
        <v>73</v>
      </c>
      <c r="C28" s="2" t="s">
        <v>32</v>
      </c>
      <c r="D28" s="3">
        <v>51</v>
      </c>
      <c r="E28" s="3">
        <v>49</v>
      </c>
      <c r="F28" s="3">
        <v>84</v>
      </c>
      <c r="G28" s="3">
        <v>71</v>
      </c>
      <c r="H28" s="3">
        <v>57</v>
      </c>
      <c r="I28" s="4">
        <f t="shared" si="0"/>
        <v>312</v>
      </c>
      <c r="J28" s="5">
        <v>500</v>
      </c>
      <c r="K28" s="6">
        <f t="shared" si="1"/>
        <v>0.624</v>
      </c>
      <c r="L28" s="7">
        <f t="shared" si="2"/>
        <v>0.376</v>
      </c>
    </row>
    <row r="29" spans="1:12" ht="22.05" customHeight="1" x14ac:dyDescent="0.3">
      <c r="A29" s="8" t="s">
        <v>74</v>
      </c>
      <c r="B29" s="8" t="s">
        <v>75</v>
      </c>
      <c r="C29" s="8" t="s">
        <v>23</v>
      </c>
      <c r="D29" s="3">
        <v>17</v>
      </c>
      <c r="E29" s="3">
        <v>29</v>
      </c>
      <c r="F29" s="3">
        <v>80</v>
      </c>
      <c r="G29" s="3">
        <v>36</v>
      </c>
      <c r="H29" s="3">
        <v>82</v>
      </c>
      <c r="I29" s="9">
        <f t="shared" si="0"/>
        <v>244</v>
      </c>
      <c r="J29" s="10">
        <v>500</v>
      </c>
      <c r="K29" s="11">
        <f t="shared" si="1"/>
        <v>0.48799999999999999</v>
      </c>
      <c r="L29" s="12">
        <f t="shared" si="2"/>
        <v>0.51200000000000001</v>
      </c>
    </row>
    <row r="30" spans="1:12" ht="22.05" customHeight="1" x14ac:dyDescent="0.3">
      <c r="A30" s="2" t="s">
        <v>76</v>
      </c>
      <c r="B30" s="2" t="s">
        <v>77</v>
      </c>
      <c r="C30" s="2" t="s">
        <v>35</v>
      </c>
      <c r="D30" s="3">
        <v>98</v>
      </c>
      <c r="E30" s="3">
        <v>40</v>
      </c>
      <c r="F30" s="3">
        <v>17</v>
      </c>
      <c r="G30" s="3">
        <v>64</v>
      </c>
      <c r="H30" s="3">
        <v>98</v>
      </c>
      <c r="I30" s="4">
        <f t="shared" si="0"/>
        <v>317</v>
      </c>
      <c r="J30" s="5">
        <v>500</v>
      </c>
      <c r="K30" s="6">
        <f t="shared" si="1"/>
        <v>0.63400000000000001</v>
      </c>
      <c r="L30" s="7">
        <f t="shared" si="2"/>
        <v>0.36599999999999999</v>
      </c>
    </row>
    <row r="31" spans="1:12" ht="22.05" customHeight="1" x14ac:dyDescent="0.3">
      <c r="A31" s="8" t="s">
        <v>78</v>
      </c>
      <c r="B31" s="8" t="s">
        <v>79</v>
      </c>
      <c r="C31" s="8" t="s">
        <v>32</v>
      </c>
      <c r="D31" s="3">
        <v>49</v>
      </c>
      <c r="E31" s="3">
        <v>90</v>
      </c>
      <c r="F31" s="3">
        <v>78</v>
      </c>
      <c r="G31" s="3">
        <v>11</v>
      </c>
      <c r="H31" s="3">
        <v>95</v>
      </c>
      <c r="I31" s="9">
        <f t="shared" si="0"/>
        <v>323</v>
      </c>
      <c r="J31" s="10">
        <v>500</v>
      </c>
      <c r="K31" s="11">
        <f t="shared" si="1"/>
        <v>0.64600000000000002</v>
      </c>
      <c r="L31" s="12">
        <f t="shared" si="2"/>
        <v>0.35399999999999998</v>
      </c>
    </row>
    <row r="32" spans="1:12" ht="22.05" customHeight="1" x14ac:dyDescent="0.3">
      <c r="A32" s="2" t="s">
        <v>80</v>
      </c>
      <c r="B32" s="2" t="s">
        <v>81</v>
      </c>
      <c r="C32" s="2" t="s">
        <v>23</v>
      </c>
      <c r="D32" s="3">
        <v>18</v>
      </c>
      <c r="E32" s="3">
        <v>67</v>
      </c>
      <c r="F32" s="3">
        <v>96</v>
      </c>
      <c r="G32" s="3">
        <v>26</v>
      </c>
      <c r="H32" s="3">
        <v>60</v>
      </c>
      <c r="I32" s="4">
        <f t="shared" si="0"/>
        <v>267</v>
      </c>
      <c r="J32" s="5">
        <v>500</v>
      </c>
      <c r="K32" s="6">
        <f t="shared" si="1"/>
        <v>0.53400000000000003</v>
      </c>
      <c r="L32" s="7">
        <f t="shared" si="2"/>
        <v>0.46599999999999997</v>
      </c>
    </row>
    <row r="33" spans="1:12" ht="22.05" customHeight="1" x14ac:dyDescent="0.3">
      <c r="A33" s="8" t="s">
        <v>82</v>
      </c>
      <c r="B33" s="8" t="s">
        <v>83</v>
      </c>
      <c r="C33" s="8" t="s">
        <v>26</v>
      </c>
      <c r="D33" s="3">
        <v>45</v>
      </c>
      <c r="E33" s="3">
        <v>87</v>
      </c>
      <c r="F33" s="3">
        <v>92</v>
      </c>
      <c r="G33" s="3">
        <v>22</v>
      </c>
      <c r="H33" s="3">
        <v>55</v>
      </c>
      <c r="I33" s="9">
        <f t="shared" si="0"/>
        <v>301</v>
      </c>
      <c r="J33" s="10">
        <v>500</v>
      </c>
      <c r="K33" s="11">
        <f t="shared" si="1"/>
        <v>0.60199999999999998</v>
      </c>
      <c r="L33" s="12">
        <f t="shared" si="2"/>
        <v>0.39800000000000002</v>
      </c>
    </row>
    <row r="34" spans="1:12" ht="22.05" customHeight="1" x14ac:dyDescent="0.3">
      <c r="A34" s="2" t="s">
        <v>84</v>
      </c>
      <c r="B34" s="2" t="s">
        <v>85</v>
      </c>
      <c r="C34" s="2" t="s">
        <v>26</v>
      </c>
      <c r="D34" s="3">
        <v>47</v>
      </c>
      <c r="E34" s="3">
        <v>69</v>
      </c>
      <c r="F34" s="3">
        <v>92</v>
      </c>
      <c r="G34" s="3">
        <v>20</v>
      </c>
      <c r="H34" s="3">
        <v>62</v>
      </c>
      <c r="I34" s="4">
        <f t="shared" ref="I34:I65" si="3">SUM(D34:H34)</f>
        <v>290</v>
      </c>
      <c r="J34" s="5">
        <v>500</v>
      </c>
      <c r="K34" s="6">
        <f t="shared" ref="K34:K65" si="4">I34/J34</f>
        <v>0.57999999999999996</v>
      </c>
      <c r="L34" s="7">
        <f t="shared" ref="L34:L65" si="5">1-K34</f>
        <v>0.42000000000000004</v>
      </c>
    </row>
    <row r="35" spans="1:12" ht="22.05" customHeight="1" x14ac:dyDescent="0.3">
      <c r="A35" s="8" t="s">
        <v>86</v>
      </c>
      <c r="B35" s="8" t="s">
        <v>87</v>
      </c>
      <c r="C35" s="8" t="s">
        <v>14</v>
      </c>
      <c r="D35" s="3">
        <v>48</v>
      </c>
      <c r="E35" s="3">
        <v>77</v>
      </c>
      <c r="F35" s="3">
        <v>50</v>
      </c>
      <c r="G35" s="3">
        <v>20</v>
      </c>
      <c r="H35" s="3">
        <v>82</v>
      </c>
      <c r="I35" s="9">
        <f t="shared" si="3"/>
        <v>277</v>
      </c>
      <c r="J35" s="10">
        <v>500</v>
      </c>
      <c r="K35" s="11">
        <f t="shared" si="4"/>
        <v>0.55400000000000005</v>
      </c>
      <c r="L35" s="12">
        <f t="shared" si="5"/>
        <v>0.44599999999999995</v>
      </c>
    </row>
    <row r="36" spans="1:12" ht="22.05" customHeight="1" x14ac:dyDescent="0.3">
      <c r="A36" s="2" t="s">
        <v>88</v>
      </c>
      <c r="B36" s="2" t="s">
        <v>89</v>
      </c>
      <c r="C36" s="2" t="s">
        <v>14</v>
      </c>
      <c r="D36" s="3">
        <v>11</v>
      </c>
      <c r="E36" s="3">
        <v>74</v>
      </c>
      <c r="F36" s="3">
        <v>17</v>
      </c>
      <c r="G36" s="3">
        <v>24</v>
      </c>
      <c r="H36" s="3">
        <v>55</v>
      </c>
      <c r="I36" s="4">
        <f t="shared" si="3"/>
        <v>181</v>
      </c>
      <c r="J36" s="5">
        <v>500</v>
      </c>
      <c r="K36" s="6">
        <f t="shared" si="4"/>
        <v>0.36199999999999999</v>
      </c>
      <c r="L36" s="7">
        <f t="shared" si="5"/>
        <v>0.63800000000000001</v>
      </c>
    </row>
    <row r="37" spans="1:12" ht="22.05" customHeight="1" x14ac:dyDescent="0.3">
      <c r="A37" s="8" t="s">
        <v>90</v>
      </c>
      <c r="B37" s="8" t="s">
        <v>91</v>
      </c>
      <c r="C37" s="8" t="s">
        <v>29</v>
      </c>
      <c r="D37" s="3">
        <v>60</v>
      </c>
      <c r="E37" s="3">
        <v>73</v>
      </c>
      <c r="F37" s="3">
        <v>14</v>
      </c>
      <c r="G37" s="3">
        <v>37</v>
      </c>
      <c r="H37" s="3">
        <v>20</v>
      </c>
      <c r="I37" s="9">
        <f t="shared" si="3"/>
        <v>204</v>
      </c>
      <c r="J37" s="10">
        <v>500</v>
      </c>
      <c r="K37" s="11">
        <f t="shared" si="4"/>
        <v>0.40799999999999997</v>
      </c>
      <c r="L37" s="12">
        <f t="shared" si="5"/>
        <v>0.59200000000000008</v>
      </c>
    </row>
    <row r="38" spans="1:12" ht="22.05" customHeight="1" x14ac:dyDescent="0.3">
      <c r="A38" s="2" t="s">
        <v>92</v>
      </c>
      <c r="B38" s="2" t="s">
        <v>93</v>
      </c>
      <c r="C38" s="2" t="s">
        <v>29</v>
      </c>
      <c r="D38" s="3">
        <v>91</v>
      </c>
      <c r="E38" s="3">
        <v>72</v>
      </c>
      <c r="F38" s="3">
        <v>65</v>
      </c>
      <c r="G38" s="3">
        <v>32</v>
      </c>
      <c r="H38" s="3">
        <v>56</v>
      </c>
      <c r="I38" s="4">
        <f t="shared" si="3"/>
        <v>316</v>
      </c>
      <c r="J38" s="5">
        <v>500</v>
      </c>
      <c r="K38" s="6">
        <f t="shared" si="4"/>
        <v>0.63200000000000001</v>
      </c>
      <c r="L38" s="7">
        <f t="shared" si="5"/>
        <v>0.36799999999999999</v>
      </c>
    </row>
    <row r="39" spans="1:12" ht="22.05" customHeight="1" x14ac:dyDescent="0.3">
      <c r="A39" s="8" t="s">
        <v>94</v>
      </c>
      <c r="B39" s="8" t="s">
        <v>95</v>
      </c>
      <c r="C39" s="8" t="s">
        <v>35</v>
      </c>
      <c r="D39" s="3">
        <v>64</v>
      </c>
      <c r="E39" s="3">
        <v>64</v>
      </c>
      <c r="F39" s="3">
        <v>76</v>
      </c>
      <c r="G39" s="3">
        <v>67</v>
      </c>
      <c r="H39" s="3">
        <v>20</v>
      </c>
      <c r="I39" s="9">
        <f t="shared" si="3"/>
        <v>291</v>
      </c>
      <c r="J39" s="10">
        <v>500</v>
      </c>
      <c r="K39" s="11">
        <f t="shared" si="4"/>
        <v>0.58199999999999996</v>
      </c>
      <c r="L39" s="12">
        <f t="shared" si="5"/>
        <v>0.41800000000000004</v>
      </c>
    </row>
    <row r="40" spans="1:12" ht="22.05" customHeight="1" x14ac:dyDescent="0.3">
      <c r="A40" s="2" t="s">
        <v>96</v>
      </c>
      <c r="B40" s="2" t="s">
        <v>97</v>
      </c>
      <c r="C40" s="2" t="s">
        <v>29</v>
      </c>
      <c r="D40" s="3">
        <v>19</v>
      </c>
      <c r="E40" s="3">
        <v>97</v>
      </c>
      <c r="F40" s="3">
        <v>14</v>
      </c>
      <c r="G40" s="3">
        <v>71</v>
      </c>
      <c r="H40" s="3">
        <v>57</v>
      </c>
      <c r="I40" s="4">
        <f t="shared" si="3"/>
        <v>258</v>
      </c>
      <c r="J40" s="5">
        <v>500</v>
      </c>
      <c r="K40" s="6">
        <f t="shared" si="4"/>
        <v>0.51600000000000001</v>
      </c>
      <c r="L40" s="7">
        <f t="shared" si="5"/>
        <v>0.48399999999999999</v>
      </c>
    </row>
    <row r="41" spans="1:12" ht="22.05" customHeight="1" x14ac:dyDescent="0.3">
      <c r="A41" s="8" t="s">
        <v>98</v>
      </c>
      <c r="B41" s="8" t="s">
        <v>99</v>
      </c>
      <c r="C41" s="8" t="s">
        <v>26</v>
      </c>
      <c r="D41" s="3">
        <v>48</v>
      </c>
      <c r="E41" s="3">
        <v>81</v>
      </c>
      <c r="F41" s="3">
        <v>43</v>
      </c>
      <c r="G41" s="3">
        <v>76</v>
      </c>
      <c r="H41" s="3">
        <v>48</v>
      </c>
      <c r="I41" s="9">
        <f t="shared" si="3"/>
        <v>296</v>
      </c>
      <c r="J41" s="10">
        <v>500</v>
      </c>
      <c r="K41" s="11">
        <f t="shared" si="4"/>
        <v>0.59199999999999997</v>
      </c>
      <c r="L41" s="12">
        <f t="shared" si="5"/>
        <v>0.40800000000000003</v>
      </c>
    </row>
    <row r="42" spans="1:12" ht="22.05" customHeight="1" x14ac:dyDescent="0.3">
      <c r="A42" s="2" t="s">
        <v>100</v>
      </c>
      <c r="B42" s="2" t="s">
        <v>101</v>
      </c>
      <c r="C42" s="2" t="s">
        <v>29</v>
      </c>
      <c r="D42" s="3">
        <v>100</v>
      </c>
      <c r="E42" s="3">
        <v>98</v>
      </c>
      <c r="F42" s="3">
        <v>60</v>
      </c>
      <c r="G42" s="3">
        <v>77</v>
      </c>
      <c r="H42" s="3">
        <v>62</v>
      </c>
      <c r="I42" s="4">
        <f t="shared" si="3"/>
        <v>397</v>
      </c>
      <c r="J42" s="5">
        <v>500</v>
      </c>
      <c r="K42" s="6">
        <f t="shared" si="4"/>
        <v>0.79400000000000004</v>
      </c>
      <c r="L42" s="7">
        <f t="shared" si="5"/>
        <v>0.20599999999999996</v>
      </c>
    </row>
    <row r="43" spans="1:12" ht="22.05" customHeight="1" x14ac:dyDescent="0.3">
      <c r="A43" s="8" t="s">
        <v>102</v>
      </c>
      <c r="B43" s="8" t="s">
        <v>103</v>
      </c>
      <c r="C43" s="8" t="s">
        <v>29</v>
      </c>
      <c r="D43" s="3">
        <v>64</v>
      </c>
      <c r="E43" s="3">
        <v>90</v>
      </c>
      <c r="F43" s="3">
        <v>95</v>
      </c>
      <c r="G43" s="3">
        <v>51</v>
      </c>
      <c r="H43" s="3">
        <v>28</v>
      </c>
      <c r="I43" s="9">
        <f t="shared" si="3"/>
        <v>328</v>
      </c>
      <c r="J43" s="10">
        <v>500</v>
      </c>
      <c r="K43" s="11">
        <f t="shared" si="4"/>
        <v>0.65600000000000003</v>
      </c>
      <c r="L43" s="12">
        <f t="shared" si="5"/>
        <v>0.34399999999999997</v>
      </c>
    </row>
    <row r="44" spans="1:12" ht="22.05" customHeight="1" x14ac:dyDescent="0.3">
      <c r="A44" s="2" t="s">
        <v>104</v>
      </c>
      <c r="B44" s="2" t="s">
        <v>105</v>
      </c>
      <c r="C44" s="2" t="s">
        <v>26</v>
      </c>
      <c r="D44" s="3">
        <v>68</v>
      </c>
      <c r="E44" s="3">
        <v>20</v>
      </c>
      <c r="F44" s="3">
        <v>37</v>
      </c>
      <c r="G44" s="3">
        <v>59</v>
      </c>
      <c r="H44" s="3">
        <v>85</v>
      </c>
      <c r="I44" s="4">
        <f t="shared" si="3"/>
        <v>269</v>
      </c>
      <c r="J44" s="5">
        <v>500</v>
      </c>
      <c r="K44" s="6">
        <f t="shared" si="4"/>
        <v>0.53800000000000003</v>
      </c>
      <c r="L44" s="7">
        <f t="shared" si="5"/>
        <v>0.46199999999999997</v>
      </c>
    </row>
    <row r="45" spans="1:12" ht="22.05" customHeight="1" x14ac:dyDescent="0.3">
      <c r="A45" s="8" t="s">
        <v>106</v>
      </c>
      <c r="B45" s="8" t="s">
        <v>107</v>
      </c>
      <c r="C45" s="8" t="s">
        <v>32</v>
      </c>
      <c r="D45" s="3">
        <v>28</v>
      </c>
      <c r="E45" s="3">
        <v>68</v>
      </c>
      <c r="F45" s="3">
        <v>42</v>
      </c>
      <c r="G45" s="3">
        <v>89</v>
      </c>
      <c r="H45" s="3">
        <v>67</v>
      </c>
      <c r="I45" s="9">
        <f t="shared" si="3"/>
        <v>294</v>
      </c>
      <c r="J45" s="10">
        <v>500</v>
      </c>
      <c r="K45" s="11">
        <f t="shared" si="4"/>
        <v>0.58799999999999997</v>
      </c>
      <c r="L45" s="12">
        <f t="shared" si="5"/>
        <v>0.41200000000000003</v>
      </c>
    </row>
    <row r="46" spans="1:12" ht="22.05" customHeight="1" x14ac:dyDescent="0.3">
      <c r="A46" s="2" t="s">
        <v>108</v>
      </c>
      <c r="B46" s="2" t="s">
        <v>109</v>
      </c>
      <c r="C46" s="2" t="s">
        <v>32</v>
      </c>
      <c r="D46" s="3">
        <v>38</v>
      </c>
      <c r="E46" s="3">
        <v>34</v>
      </c>
      <c r="F46" s="3">
        <v>30</v>
      </c>
      <c r="G46" s="3">
        <v>45</v>
      </c>
      <c r="H46" s="3">
        <v>93</v>
      </c>
      <c r="I46" s="4">
        <f t="shared" si="3"/>
        <v>240</v>
      </c>
      <c r="J46" s="5">
        <v>500</v>
      </c>
      <c r="K46" s="6">
        <f t="shared" si="4"/>
        <v>0.48</v>
      </c>
      <c r="L46" s="7">
        <f t="shared" si="5"/>
        <v>0.52</v>
      </c>
    </row>
    <row r="47" spans="1:12" ht="22.05" customHeight="1" x14ac:dyDescent="0.3">
      <c r="A47" s="8" t="s">
        <v>110</v>
      </c>
      <c r="B47" s="8" t="s">
        <v>111</v>
      </c>
      <c r="C47" s="8" t="s">
        <v>20</v>
      </c>
      <c r="D47" s="3">
        <v>53</v>
      </c>
      <c r="E47" s="3">
        <v>62</v>
      </c>
      <c r="F47" s="3">
        <v>89</v>
      </c>
      <c r="G47" s="3">
        <v>71</v>
      </c>
      <c r="H47" s="3">
        <v>77</v>
      </c>
      <c r="I47" s="9">
        <f t="shared" si="3"/>
        <v>352</v>
      </c>
      <c r="J47" s="10">
        <v>500</v>
      </c>
      <c r="K47" s="11">
        <f t="shared" si="4"/>
        <v>0.70399999999999996</v>
      </c>
      <c r="L47" s="12">
        <f t="shared" si="5"/>
        <v>0.29600000000000004</v>
      </c>
    </row>
    <row r="48" spans="1:12" ht="22.05" customHeight="1" x14ac:dyDescent="0.3">
      <c r="A48" s="2" t="s">
        <v>112</v>
      </c>
      <c r="B48" s="2" t="s">
        <v>113</v>
      </c>
      <c r="C48" s="2" t="s">
        <v>26</v>
      </c>
      <c r="D48" s="3">
        <v>62</v>
      </c>
      <c r="E48" s="3">
        <v>22</v>
      </c>
      <c r="F48" s="3">
        <v>85</v>
      </c>
      <c r="G48" s="3">
        <v>78</v>
      </c>
      <c r="H48" s="3">
        <v>97</v>
      </c>
      <c r="I48" s="4">
        <f t="shared" si="3"/>
        <v>344</v>
      </c>
      <c r="J48" s="5">
        <v>500</v>
      </c>
      <c r="K48" s="6">
        <f t="shared" si="4"/>
        <v>0.68799999999999994</v>
      </c>
      <c r="L48" s="7">
        <f t="shared" si="5"/>
        <v>0.31200000000000006</v>
      </c>
    </row>
    <row r="49" spans="1:12" ht="22.05" customHeight="1" x14ac:dyDescent="0.3">
      <c r="A49" s="8" t="s">
        <v>114</v>
      </c>
      <c r="B49" s="8" t="s">
        <v>115</v>
      </c>
      <c r="C49" s="8" t="s">
        <v>26</v>
      </c>
      <c r="D49" s="3">
        <v>24</v>
      </c>
      <c r="E49" s="3">
        <v>70</v>
      </c>
      <c r="F49" s="3">
        <v>99</v>
      </c>
      <c r="G49" s="3">
        <v>67</v>
      </c>
      <c r="H49" s="3">
        <v>79</v>
      </c>
      <c r="I49" s="9">
        <f t="shared" si="3"/>
        <v>339</v>
      </c>
      <c r="J49" s="10">
        <v>500</v>
      </c>
      <c r="K49" s="11">
        <f t="shared" si="4"/>
        <v>0.67800000000000005</v>
      </c>
      <c r="L49" s="12">
        <f t="shared" si="5"/>
        <v>0.32199999999999995</v>
      </c>
    </row>
    <row r="50" spans="1:12" ht="22.05" customHeight="1" x14ac:dyDescent="0.3">
      <c r="A50" s="2" t="s">
        <v>116</v>
      </c>
      <c r="B50" s="2" t="s">
        <v>117</v>
      </c>
      <c r="C50" s="2" t="s">
        <v>14</v>
      </c>
      <c r="D50" s="3">
        <v>96</v>
      </c>
      <c r="E50" s="3">
        <v>24</v>
      </c>
      <c r="F50" s="3">
        <v>17</v>
      </c>
      <c r="G50" s="3">
        <v>28</v>
      </c>
      <c r="H50" s="3">
        <v>69</v>
      </c>
      <c r="I50" s="4">
        <f t="shared" si="3"/>
        <v>234</v>
      </c>
      <c r="J50" s="5">
        <v>500</v>
      </c>
      <c r="K50" s="6">
        <f t="shared" si="4"/>
        <v>0.46800000000000003</v>
      </c>
      <c r="L50" s="7">
        <f t="shared" si="5"/>
        <v>0.53200000000000003</v>
      </c>
    </row>
    <row r="51" spans="1:12" ht="22.05" customHeight="1" x14ac:dyDescent="0.3">
      <c r="A51" s="8" t="s">
        <v>118</v>
      </c>
      <c r="B51" s="8" t="s">
        <v>119</v>
      </c>
      <c r="C51" s="8" t="s">
        <v>14</v>
      </c>
      <c r="D51" s="3">
        <v>37</v>
      </c>
      <c r="E51" s="3">
        <v>52</v>
      </c>
      <c r="F51" s="3">
        <v>82</v>
      </c>
      <c r="G51" s="3">
        <v>46</v>
      </c>
      <c r="H51" s="3">
        <v>27</v>
      </c>
      <c r="I51" s="9">
        <f t="shared" si="3"/>
        <v>244</v>
      </c>
      <c r="J51" s="10">
        <v>500</v>
      </c>
      <c r="K51" s="11">
        <f t="shared" si="4"/>
        <v>0.48799999999999999</v>
      </c>
      <c r="L51" s="12">
        <f t="shared" si="5"/>
        <v>0.51200000000000001</v>
      </c>
    </row>
    <row r="52" spans="1:12" ht="22.05" customHeight="1" x14ac:dyDescent="0.3">
      <c r="A52" s="2" t="s">
        <v>120</v>
      </c>
      <c r="B52" s="2" t="s">
        <v>121</v>
      </c>
      <c r="C52" s="2" t="s">
        <v>14</v>
      </c>
      <c r="D52" s="3">
        <v>82</v>
      </c>
      <c r="E52" s="3">
        <v>85</v>
      </c>
      <c r="F52" s="3">
        <v>95</v>
      </c>
      <c r="G52" s="3">
        <v>41</v>
      </c>
      <c r="H52" s="3">
        <v>83</v>
      </c>
      <c r="I52" s="4">
        <f t="shared" si="3"/>
        <v>386</v>
      </c>
      <c r="J52" s="5">
        <v>500</v>
      </c>
      <c r="K52" s="6">
        <f t="shared" si="4"/>
        <v>0.77200000000000002</v>
      </c>
      <c r="L52" s="7">
        <f t="shared" si="5"/>
        <v>0.22799999999999998</v>
      </c>
    </row>
    <row r="53" spans="1:12" ht="22.05" customHeight="1" x14ac:dyDescent="0.3">
      <c r="A53" s="8" t="s">
        <v>122</v>
      </c>
      <c r="B53" s="8" t="s">
        <v>123</v>
      </c>
      <c r="C53" s="8" t="s">
        <v>17</v>
      </c>
      <c r="D53" s="3">
        <v>52</v>
      </c>
      <c r="E53" s="3">
        <v>82</v>
      </c>
      <c r="F53" s="3">
        <v>86</v>
      </c>
      <c r="G53" s="3">
        <v>98</v>
      </c>
      <c r="H53" s="3">
        <v>84</v>
      </c>
      <c r="I53" s="9">
        <f t="shared" si="3"/>
        <v>402</v>
      </c>
      <c r="J53" s="10">
        <v>500</v>
      </c>
      <c r="K53" s="11">
        <f t="shared" si="4"/>
        <v>0.80400000000000005</v>
      </c>
      <c r="L53" s="12">
        <f t="shared" si="5"/>
        <v>0.19599999999999995</v>
      </c>
    </row>
    <row r="54" spans="1:12" ht="22.05" customHeight="1" x14ac:dyDescent="0.3">
      <c r="A54" s="2" t="s">
        <v>124</v>
      </c>
      <c r="B54" s="2" t="s">
        <v>125</v>
      </c>
      <c r="C54" s="2" t="s">
        <v>17</v>
      </c>
      <c r="D54" s="3">
        <v>19</v>
      </c>
      <c r="E54" s="3">
        <v>64</v>
      </c>
      <c r="F54" s="3">
        <v>63</v>
      </c>
      <c r="G54" s="3">
        <v>54</v>
      </c>
      <c r="H54" s="3">
        <v>71</v>
      </c>
      <c r="I54" s="4">
        <f t="shared" si="3"/>
        <v>271</v>
      </c>
      <c r="J54" s="5">
        <v>500</v>
      </c>
      <c r="K54" s="6">
        <f t="shared" si="4"/>
        <v>0.54200000000000004</v>
      </c>
      <c r="L54" s="7">
        <f t="shared" si="5"/>
        <v>0.45799999999999996</v>
      </c>
    </row>
    <row r="55" spans="1:12" ht="22.05" customHeight="1" x14ac:dyDescent="0.3">
      <c r="A55" s="8" t="s">
        <v>126</v>
      </c>
      <c r="B55" s="8" t="s">
        <v>127</v>
      </c>
      <c r="C55" s="8" t="s">
        <v>17</v>
      </c>
      <c r="D55" s="3">
        <v>52</v>
      </c>
      <c r="E55" s="3">
        <v>73</v>
      </c>
      <c r="F55" s="3">
        <v>41</v>
      </c>
      <c r="G55" s="3">
        <v>72</v>
      </c>
      <c r="H55" s="3">
        <v>81</v>
      </c>
      <c r="I55" s="9">
        <f t="shared" si="3"/>
        <v>319</v>
      </c>
      <c r="J55" s="10">
        <v>500</v>
      </c>
      <c r="K55" s="11">
        <f t="shared" si="4"/>
        <v>0.63800000000000001</v>
      </c>
      <c r="L55" s="12">
        <f t="shared" si="5"/>
        <v>0.36199999999999999</v>
      </c>
    </row>
    <row r="56" spans="1:12" ht="22.05" customHeight="1" x14ac:dyDescent="0.3">
      <c r="A56" s="2" t="s">
        <v>128</v>
      </c>
      <c r="B56" s="2" t="s">
        <v>129</v>
      </c>
      <c r="C56" s="2" t="s">
        <v>35</v>
      </c>
      <c r="D56" s="3">
        <v>20</v>
      </c>
      <c r="E56" s="3">
        <v>83</v>
      </c>
      <c r="F56" s="3">
        <v>33</v>
      </c>
      <c r="G56" s="3">
        <v>98</v>
      </c>
      <c r="H56" s="3">
        <v>10</v>
      </c>
      <c r="I56" s="4">
        <f t="shared" si="3"/>
        <v>244</v>
      </c>
      <c r="J56" s="5">
        <v>500</v>
      </c>
      <c r="K56" s="6">
        <f t="shared" si="4"/>
        <v>0.48799999999999999</v>
      </c>
      <c r="L56" s="7">
        <f t="shared" si="5"/>
        <v>0.51200000000000001</v>
      </c>
    </row>
    <row r="57" spans="1:12" ht="22.05" customHeight="1" x14ac:dyDescent="0.3">
      <c r="A57" s="8" t="s">
        <v>130</v>
      </c>
      <c r="B57" s="8" t="s">
        <v>131</v>
      </c>
      <c r="C57" s="8" t="s">
        <v>17</v>
      </c>
      <c r="D57" s="3">
        <v>100</v>
      </c>
      <c r="E57" s="3">
        <v>13</v>
      </c>
      <c r="F57" s="3">
        <v>74</v>
      </c>
      <c r="G57" s="3">
        <v>96</v>
      </c>
      <c r="H57" s="3">
        <v>23</v>
      </c>
      <c r="I57" s="9">
        <f t="shared" si="3"/>
        <v>306</v>
      </c>
      <c r="J57" s="10">
        <v>500</v>
      </c>
      <c r="K57" s="11">
        <f t="shared" si="4"/>
        <v>0.61199999999999999</v>
      </c>
      <c r="L57" s="12">
        <f t="shared" si="5"/>
        <v>0.38800000000000001</v>
      </c>
    </row>
    <row r="58" spans="1:12" ht="22.05" customHeight="1" x14ac:dyDescent="0.3">
      <c r="A58" s="2" t="s">
        <v>132</v>
      </c>
      <c r="B58" s="2" t="s">
        <v>133</v>
      </c>
      <c r="C58" s="2" t="s">
        <v>14</v>
      </c>
      <c r="D58" s="3">
        <v>28</v>
      </c>
      <c r="E58" s="3">
        <v>84</v>
      </c>
      <c r="F58" s="3">
        <v>65</v>
      </c>
      <c r="G58" s="3">
        <v>41</v>
      </c>
      <c r="H58" s="3">
        <v>60</v>
      </c>
      <c r="I58" s="4">
        <f t="shared" si="3"/>
        <v>278</v>
      </c>
      <c r="J58" s="5">
        <v>500</v>
      </c>
      <c r="K58" s="6">
        <f t="shared" si="4"/>
        <v>0.55600000000000005</v>
      </c>
      <c r="L58" s="7">
        <f t="shared" si="5"/>
        <v>0.44399999999999995</v>
      </c>
    </row>
    <row r="59" spans="1:12" ht="22.05" customHeight="1" x14ac:dyDescent="0.3">
      <c r="A59" s="8" t="s">
        <v>134</v>
      </c>
      <c r="B59" s="8" t="s">
        <v>135</v>
      </c>
      <c r="C59" s="8" t="s">
        <v>20</v>
      </c>
      <c r="D59" s="3">
        <v>99</v>
      </c>
      <c r="E59" s="3">
        <v>92</v>
      </c>
      <c r="F59" s="3">
        <v>54</v>
      </c>
      <c r="G59" s="3">
        <v>79</v>
      </c>
      <c r="H59" s="3">
        <v>44</v>
      </c>
      <c r="I59" s="9">
        <f t="shared" si="3"/>
        <v>368</v>
      </c>
      <c r="J59" s="10">
        <v>500</v>
      </c>
      <c r="K59" s="11">
        <f t="shared" si="4"/>
        <v>0.73599999999999999</v>
      </c>
      <c r="L59" s="12">
        <f t="shared" si="5"/>
        <v>0.26400000000000001</v>
      </c>
    </row>
    <row r="60" spans="1:12" ht="22.05" customHeight="1" x14ac:dyDescent="0.3">
      <c r="A60" s="2" t="s">
        <v>136</v>
      </c>
      <c r="B60" s="2" t="s">
        <v>137</v>
      </c>
      <c r="C60" s="2" t="s">
        <v>17</v>
      </c>
      <c r="D60" s="3">
        <v>67</v>
      </c>
      <c r="E60" s="3">
        <v>87</v>
      </c>
      <c r="F60" s="3">
        <v>51</v>
      </c>
      <c r="G60" s="3">
        <v>40</v>
      </c>
      <c r="H60" s="3">
        <v>66</v>
      </c>
      <c r="I60" s="4">
        <f t="shared" si="3"/>
        <v>311</v>
      </c>
      <c r="J60" s="5">
        <v>500</v>
      </c>
      <c r="K60" s="6">
        <f t="shared" si="4"/>
        <v>0.622</v>
      </c>
      <c r="L60" s="7">
        <f t="shared" si="5"/>
        <v>0.378</v>
      </c>
    </row>
    <row r="61" spans="1:12" ht="22.05" customHeight="1" x14ac:dyDescent="0.3">
      <c r="A61" s="8" t="s">
        <v>138</v>
      </c>
      <c r="B61" s="8" t="s">
        <v>139</v>
      </c>
      <c r="C61" s="8" t="s">
        <v>23</v>
      </c>
      <c r="D61" s="3">
        <v>99</v>
      </c>
      <c r="E61" s="3">
        <v>90</v>
      </c>
      <c r="F61" s="3">
        <v>58</v>
      </c>
      <c r="G61" s="3">
        <v>76</v>
      </c>
      <c r="H61" s="3">
        <v>52</v>
      </c>
      <c r="I61" s="9">
        <f t="shared" si="3"/>
        <v>375</v>
      </c>
      <c r="J61" s="10">
        <v>500</v>
      </c>
      <c r="K61" s="11">
        <f t="shared" si="4"/>
        <v>0.75</v>
      </c>
      <c r="L61" s="12">
        <f t="shared" si="5"/>
        <v>0.25</v>
      </c>
    </row>
    <row r="62" spans="1:12" ht="22.05" customHeight="1" x14ac:dyDescent="0.3">
      <c r="A62" s="2" t="s">
        <v>140</v>
      </c>
      <c r="B62" s="2" t="s">
        <v>141</v>
      </c>
      <c r="C62" s="2" t="s">
        <v>20</v>
      </c>
      <c r="D62" s="3">
        <v>59</v>
      </c>
      <c r="E62" s="3">
        <v>90</v>
      </c>
      <c r="F62" s="3">
        <v>89</v>
      </c>
      <c r="G62" s="3">
        <v>71</v>
      </c>
      <c r="H62" s="3">
        <v>77</v>
      </c>
      <c r="I62" s="4">
        <f t="shared" si="3"/>
        <v>386</v>
      </c>
      <c r="J62" s="5">
        <v>500</v>
      </c>
      <c r="K62" s="6">
        <f t="shared" si="4"/>
        <v>0.77200000000000002</v>
      </c>
      <c r="L62" s="7">
        <f t="shared" si="5"/>
        <v>0.22799999999999998</v>
      </c>
    </row>
    <row r="63" spans="1:12" ht="22.05" customHeight="1" x14ac:dyDescent="0.3">
      <c r="A63" s="8" t="s">
        <v>142</v>
      </c>
      <c r="B63" s="8" t="s">
        <v>143</v>
      </c>
      <c r="C63" s="8" t="s">
        <v>23</v>
      </c>
      <c r="D63" s="3">
        <v>66</v>
      </c>
      <c r="E63" s="3">
        <v>85</v>
      </c>
      <c r="F63" s="3">
        <v>96</v>
      </c>
      <c r="G63" s="3">
        <v>40</v>
      </c>
      <c r="H63" s="3">
        <v>88</v>
      </c>
      <c r="I63" s="9">
        <f t="shared" si="3"/>
        <v>375</v>
      </c>
      <c r="J63" s="10">
        <v>500</v>
      </c>
      <c r="K63" s="11">
        <f t="shared" si="4"/>
        <v>0.75</v>
      </c>
      <c r="L63" s="12">
        <f t="shared" si="5"/>
        <v>0.25</v>
      </c>
    </row>
    <row r="64" spans="1:12" ht="22.05" customHeight="1" x14ac:dyDescent="0.3">
      <c r="A64" s="2" t="s">
        <v>144</v>
      </c>
      <c r="B64" s="2" t="s">
        <v>145</v>
      </c>
      <c r="C64" s="2" t="s">
        <v>17</v>
      </c>
      <c r="D64" s="3">
        <v>51</v>
      </c>
      <c r="E64" s="3">
        <v>97</v>
      </c>
      <c r="F64" s="3">
        <v>64</v>
      </c>
      <c r="G64" s="3">
        <v>89</v>
      </c>
      <c r="H64" s="3">
        <v>50</v>
      </c>
      <c r="I64" s="4">
        <f t="shared" si="3"/>
        <v>351</v>
      </c>
      <c r="J64" s="5">
        <v>500</v>
      </c>
      <c r="K64" s="6">
        <f t="shared" si="4"/>
        <v>0.70199999999999996</v>
      </c>
      <c r="L64" s="7">
        <f t="shared" si="5"/>
        <v>0.29800000000000004</v>
      </c>
    </row>
    <row r="65" spans="1:12" ht="22.05" customHeight="1" x14ac:dyDescent="0.3">
      <c r="A65" s="8" t="s">
        <v>146</v>
      </c>
      <c r="B65" s="8" t="s">
        <v>147</v>
      </c>
      <c r="C65" s="8" t="s">
        <v>20</v>
      </c>
      <c r="D65" s="3">
        <v>77</v>
      </c>
      <c r="E65" s="3">
        <v>45</v>
      </c>
      <c r="F65" s="3">
        <v>74</v>
      </c>
      <c r="G65" s="3">
        <v>32</v>
      </c>
      <c r="H65" s="3">
        <v>93</v>
      </c>
      <c r="I65" s="9">
        <f t="shared" si="3"/>
        <v>321</v>
      </c>
      <c r="J65" s="10">
        <v>500</v>
      </c>
      <c r="K65" s="11">
        <f t="shared" si="4"/>
        <v>0.64200000000000002</v>
      </c>
      <c r="L65" s="12">
        <f t="shared" si="5"/>
        <v>0.35799999999999998</v>
      </c>
    </row>
    <row r="66" spans="1:12" ht="22.05" customHeight="1" x14ac:dyDescent="0.3">
      <c r="A66" s="2" t="s">
        <v>148</v>
      </c>
      <c r="B66" s="2" t="s">
        <v>149</v>
      </c>
      <c r="C66" s="2" t="s">
        <v>29</v>
      </c>
      <c r="D66" s="3">
        <v>69</v>
      </c>
      <c r="E66" s="3">
        <v>12</v>
      </c>
      <c r="F66" s="3">
        <v>26</v>
      </c>
      <c r="G66" s="3">
        <v>90</v>
      </c>
      <c r="H66" s="3">
        <v>71</v>
      </c>
      <c r="I66" s="4">
        <f t="shared" ref="I66:I97" si="6">SUM(D66:H66)</f>
        <v>268</v>
      </c>
      <c r="J66" s="5">
        <v>500</v>
      </c>
      <c r="K66" s="6">
        <f t="shared" ref="K66:K97" si="7">I66/J66</f>
        <v>0.53600000000000003</v>
      </c>
      <c r="L66" s="7">
        <f t="shared" ref="L66:L97" si="8">1-K66</f>
        <v>0.46399999999999997</v>
      </c>
    </row>
    <row r="67" spans="1:12" ht="22.05" customHeight="1" x14ac:dyDescent="0.3">
      <c r="A67" s="8" t="s">
        <v>150</v>
      </c>
      <c r="B67" s="8" t="s">
        <v>151</v>
      </c>
      <c r="C67" s="8" t="s">
        <v>35</v>
      </c>
      <c r="D67" s="3">
        <v>32</v>
      </c>
      <c r="E67" s="3">
        <v>35</v>
      </c>
      <c r="F67" s="3">
        <v>77</v>
      </c>
      <c r="G67" s="3">
        <v>80</v>
      </c>
      <c r="H67" s="3">
        <v>83</v>
      </c>
      <c r="I67" s="9">
        <f t="shared" si="6"/>
        <v>307</v>
      </c>
      <c r="J67" s="10">
        <v>500</v>
      </c>
      <c r="K67" s="11">
        <f t="shared" si="7"/>
        <v>0.61399999999999999</v>
      </c>
      <c r="L67" s="12">
        <f t="shared" si="8"/>
        <v>0.38600000000000001</v>
      </c>
    </row>
    <row r="68" spans="1:12" ht="22.05" customHeight="1" x14ac:dyDescent="0.3">
      <c r="A68" s="2" t="s">
        <v>152</v>
      </c>
      <c r="B68" s="2" t="s">
        <v>153</v>
      </c>
      <c r="C68" s="2" t="s">
        <v>32</v>
      </c>
      <c r="D68" s="3">
        <v>75</v>
      </c>
      <c r="E68" s="3">
        <v>25</v>
      </c>
      <c r="F68" s="3">
        <v>73</v>
      </c>
      <c r="G68" s="3">
        <v>14</v>
      </c>
      <c r="H68" s="3">
        <v>54</v>
      </c>
      <c r="I68" s="4">
        <f t="shared" si="6"/>
        <v>241</v>
      </c>
      <c r="J68" s="5">
        <v>500</v>
      </c>
      <c r="K68" s="6">
        <f t="shared" si="7"/>
        <v>0.48199999999999998</v>
      </c>
      <c r="L68" s="7">
        <f t="shared" si="8"/>
        <v>0.51800000000000002</v>
      </c>
    </row>
    <row r="69" spans="1:12" ht="22.05" customHeight="1" x14ac:dyDescent="0.3">
      <c r="A69" s="8" t="s">
        <v>154</v>
      </c>
      <c r="B69" s="8" t="s">
        <v>155</v>
      </c>
      <c r="C69" s="8" t="s">
        <v>17</v>
      </c>
      <c r="D69" s="3">
        <v>23</v>
      </c>
      <c r="E69" s="3">
        <v>55</v>
      </c>
      <c r="F69" s="3">
        <v>66</v>
      </c>
      <c r="G69" s="3">
        <v>31</v>
      </c>
      <c r="H69" s="3">
        <v>65</v>
      </c>
      <c r="I69" s="9">
        <f t="shared" si="6"/>
        <v>240</v>
      </c>
      <c r="J69" s="10">
        <v>500</v>
      </c>
      <c r="K69" s="11">
        <f t="shared" si="7"/>
        <v>0.48</v>
      </c>
      <c r="L69" s="12">
        <f t="shared" si="8"/>
        <v>0.52</v>
      </c>
    </row>
    <row r="70" spans="1:12" ht="22.05" customHeight="1" x14ac:dyDescent="0.3">
      <c r="A70" s="2" t="s">
        <v>156</v>
      </c>
      <c r="B70" s="2" t="s">
        <v>157</v>
      </c>
      <c r="C70" s="2" t="s">
        <v>20</v>
      </c>
      <c r="D70" s="3">
        <v>16</v>
      </c>
      <c r="E70" s="3">
        <v>23</v>
      </c>
      <c r="F70" s="3">
        <v>13</v>
      </c>
      <c r="G70" s="3">
        <v>65</v>
      </c>
      <c r="H70" s="3">
        <v>57</v>
      </c>
      <c r="I70" s="4">
        <f t="shared" si="6"/>
        <v>174</v>
      </c>
      <c r="J70" s="5">
        <v>500</v>
      </c>
      <c r="K70" s="6">
        <f t="shared" si="7"/>
        <v>0.34799999999999998</v>
      </c>
      <c r="L70" s="7">
        <f t="shared" si="8"/>
        <v>0.65200000000000002</v>
      </c>
    </row>
    <row r="71" spans="1:12" ht="22.05" customHeight="1" x14ac:dyDescent="0.3">
      <c r="A71" s="8" t="s">
        <v>158</v>
      </c>
      <c r="B71" s="8" t="s">
        <v>159</v>
      </c>
      <c r="C71" s="8" t="s">
        <v>26</v>
      </c>
      <c r="D71" s="3">
        <v>84</v>
      </c>
      <c r="E71" s="3">
        <v>41</v>
      </c>
      <c r="F71" s="3">
        <v>12</v>
      </c>
      <c r="G71" s="3">
        <v>66</v>
      </c>
      <c r="H71" s="3">
        <v>60</v>
      </c>
      <c r="I71" s="9">
        <f t="shared" si="6"/>
        <v>263</v>
      </c>
      <c r="J71" s="10">
        <v>500</v>
      </c>
      <c r="K71" s="11">
        <f t="shared" si="7"/>
        <v>0.52600000000000002</v>
      </c>
      <c r="L71" s="12">
        <f t="shared" si="8"/>
        <v>0.47399999999999998</v>
      </c>
    </row>
    <row r="72" spans="1:12" ht="22.05" customHeight="1" x14ac:dyDescent="0.3">
      <c r="A72" s="2" t="s">
        <v>160</v>
      </c>
      <c r="B72" s="2" t="s">
        <v>161</v>
      </c>
      <c r="C72" s="2" t="s">
        <v>29</v>
      </c>
      <c r="D72" s="3">
        <v>81</v>
      </c>
      <c r="E72" s="3">
        <v>19</v>
      </c>
      <c r="F72" s="3">
        <v>81</v>
      </c>
      <c r="G72" s="3">
        <v>95</v>
      </c>
      <c r="H72" s="3">
        <v>46</v>
      </c>
      <c r="I72" s="4">
        <f t="shared" si="6"/>
        <v>322</v>
      </c>
      <c r="J72" s="5">
        <v>500</v>
      </c>
      <c r="K72" s="6">
        <f t="shared" si="7"/>
        <v>0.64400000000000002</v>
      </c>
      <c r="L72" s="7">
        <f t="shared" si="8"/>
        <v>0.35599999999999998</v>
      </c>
    </row>
    <row r="73" spans="1:12" ht="22.05" customHeight="1" x14ac:dyDescent="0.3">
      <c r="A73" s="8" t="s">
        <v>162</v>
      </c>
      <c r="B73" s="8" t="s">
        <v>163</v>
      </c>
      <c r="C73" s="8" t="s">
        <v>29</v>
      </c>
      <c r="D73" s="3">
        <v>82</v>
      </c>
      <c r="E73" s="3">
        <v>17</v>
      </c>
      <c r="F73" s="3">
        <v>47</v>
      </c>
      <c r="G73" s="3">
        <v>73</v>
      </c>
      <c r="H73" s="3">
        <v>76</v>
      </c>
      <c r="I73" s="9">
        <f t="shared" si="6"/>
        <v>295</v>
      </c>
      <c r="J73" s="10">
        <v>500</v>
      </c>
      <c r="K73" s="11">
        <f t="shared" si="7"/>
        <v>0.59</v>
      </c>
      <c r="L73" s="12">
        <f t="shared" si="8"/>
        <v>0.41000000000000003</v>
      </c>
    </row>
    <row r="74" spans="1:12" ht="22.05" customHeight="1" x14ac:dyDescent="0.3">
      <c r="A74" s="2" t="s">
        <v>164</v>
      </c>
      <c r="B74" s="2" t="s">
        <v>165</v>
      </c>
      <c r="C74" s="2" t="s">
        <v>20</v>
      </c>
      <c r="D74" s="3">
        <v>85</v>
      </c>
      <c r="E74" s="3">
        <v>29</v>
      </c>
      <c r="F74" s="3">
        <v>82</v>
      </c>
      <c r="G74" s="3">
        <v>64</v>
      </c>
      <c r="H74" s="3">
        <v>26</v>
      </c>
      <c r="I74" s="4">
        <f t="shared" si="6"/>
        <v>286</v>
      </c>
      <c r="J74" s="5">
        <v>500</v>
      </c>
      <c r="K74" s="6">
        <f t="shared" si="7"/>
        <v>0.57199999999999995</v>
      </c>
      <c r="L74" s="7">
        <f t="shared" si="8"/>
        <v>0.42800000000000005</v>
      </c>
    </row>
    <row r="75" spans="1:12" ht="22.05" customHeight="1" x14ac:dyDescent="0.3">
      <c r="A75" s="8" t="s">
        <v>166</v>
      </c>
      <c r="B75" s="8" t="s">
        <v>167</v>
      </c>
      <c r="C75" s="8" t="s">
        <v>26</v>
      </c>
      <c r="D75" s="3">
        <v>51</v>
      </c>
      <c r="E75" s="3">
        <v>88</v>
      </c>
      <c r="F75" s="3">
        <v>22</v>
      </c>
      <c r="G75" s="3">
        <v>17</v>
      </c>
      <c r="H75" s="3">
        <v>34</v>
      </c>
      <c r="I75" s="9">
        <f t="shared" si="6"/>
        <v>212</v>
      </c>
      <c r="J75" s="10">
        <v>500</v>
      </c>
      <c r="K75" s="11">
        <f t="shared" si="7"/>
        <v>0.42399999999999999</v>
      </c>
      <c r="L75" s="12">
        <f t="shared" si="8"/>
        <v>0.57600000000000007</v>
      </c>
    </row>
    <row r="76" spans="1:12" ht="22.05" customHeight="1" x14ac:dyDescent="0.3">
      <c r="A76" s="2" t="s">
        <v>168</v>
      </c>
      <c r="B76" s="2" t="s">
        <v>169</v>
      </c>
      <c r="C76" s="2" t="s">
        <v>35</v>
      </c>
      <c r="D76" s="3">
        <v>39</v>
      </c>
      <c r="E76" s="3">
        <v>53</v>
      </c>
      <c r="F76" s="3">
        <v>12</v>
      </c>
      <c r="G76" s="3">
        <v>24</v>
      </c>
      <c r="H76" s="3">
        <v>64</v>
      </c>
      <c r="I76" s="4">
        <f t="shared" si="6"/>
        <v>192</v>
      </c>
      <c r="J76" s="5">
        <v>500</v>
      </c>
      <c r="K76" s="6">
        <f t="shared" si="7"/>
        <v>0.38400000000000001</v>
      </c>
      <c r="L76" s="7">
        <f t="shared" si="8"/>
        <v>0.61599999999999999</v>
      </c>
    </row>
    <row r="77" spans="1:12" ht="22.05" customHeight="1" x14ac:dyDescent="0.3">
      <c r="A77" s="8" t="s">
        <v>170</v>
      </c>
      <c r="B77" s="8" t="s">
        <v>171</v>
      </c>
      <c r="C77" s="8" t="s">
        <v>29</v>
      </c>
      <c r="D77" s="3">
        <v>95</v>
      </c>
      <c r="E77" s="3">
        <v>39</v>
      </c>
      <c r="F77" s="3">
        <v>85</v>
      </c>
      <c r="G77" s="3">
        <v>91</v>
      </c>
      <c r="H77" s="3">
        <v>82</v>
      </c>
      <c r="I77" s="9">
        <f t="shared" si="6"/>
        <v>392</v>
      </c>
      <c r="J77" s="10">
        <v>500</v>
      </c>
      <c r="K77" s="11">
        <f t="shared" si="7"/>
        <v>0.78400000000000003</v>
      </c>
      <c r="L77" s="12">
        <f t="shared" si="8"/>
        <v>0.21599999999999997</v>
      </c>
    </row>
    <row r="78" spans="1:12" ht="22.05" customHeight="1" x14ac:dyDescent="0.3">
      <c r="A78" s="2" t="s">
        <v>172</v>
      </c>
      <c r="B78" s="2" t="s">
        <v>173</v>
      </c>
      <c r="C78" s="2" t="s">
        <v>26</v>
      </c>
      <c r="D78" s="3">
        <v>86</v>
      </c>
      <c r="E78" s="3">
        <v>23</v>
      </c>
      <c r="F78" s="3">
        <v>89</v>
      </c>
      <c r="G78" s="3">
        <v>73</v>
      </c>
      <c r="H78" s="3">
        <v>47</v>
      </c>
      <c r="I78" s="4">
        <f t="shared" si="6"/>
        <v>318</v>
      </c>
      <c r="J78" s="5">
        <v>500</v>
      </c>
      <c r="K78" s="6">
        <f t="shared" si="7"/>
        <v>0.63600000000000001</v>
      </c>
      <c r="L78" s="7">
        <f t="shared" si="8"/>
        <v>0.36399999999999999</v>
      </c>
    </row>
    <row r="79" spans="1:12" ht="22.05" customHeight="1" x14ac:dyDescent="0.3">
      <c r="A79" s="8" t="s">
        <v>174</v>
      </c>
      <c r="B79" s="8" t="s">
        <v>175</v>
      </c>
      <c r="C79" s="8" t="s">
        <v>26</v>
      </c>
      <c r="D79" s="3">
        <v>84</v>
      </c>
      <c r="E79" s="3">
        <v>38</v>
      </c>
      <c r="F79" s="3">
        <v>45</v>
      </c>
      <c r="G79" s="3">
        <v>78</v>
      </c>
      <c r="H79" s="3">
        <v>49</v>
      </c>
      <c r="I79" s="9">
        <f t="shared" si="6"/>
        <v>294</v>
      </c>
      <c r="J79" s="10">
        <v>500</v>
      </c>
      <c r="K79" s="11">
        <f t="shared" si="7"/>
        <v>0.58799999999999997</v>
      </c>
      <c r="L79" s="12">
        <f t="shared" si="8"/>
        <v>0.41200000000000003</v>
      </c>
    </row>
    <row r="80" spans="1:12" ht="22.05" customHeight="1" x14ac:dyDescent="0.3">
      <c r="A80" s="2" t="s">
        <v>176</v>
      </c>
      <c r="B80" s="2" t="s">
        <v>177</v>
      </c>
      <c r="C80" s="2" t="s">
        <v>35</v>
      </c>
      <c r="D80" s="3">
        <v>62</v>
      </c>
      <c r="E80" s="3">
        <v>98</v>
      </c>
      <c r="F80" s="3">
        <v>64</v>
      </c>
      <c r="G80" s="3">
        <v>62</v>
      </c>
      <c r="H80" s="3">
        <v>19</v>
      </c>
      <c r="I80" s="4">
        <f t="shared" si="6"/>
        <v>305</v>
      </c>
      <c r="J80" s="5">
        <v>500</v>
      </c>
      <c r="K80" s="6">
        <f t="shared" si="7"/>
        <v>0.61</v>
      </c>
      <c r="L80" s="7">
        <f t="shared" si="8"/>
        <v>0.39</v>
      </c>
    </row>
    <row r="81" spans="1:12" ht="22.05" customHeight="1" x14ac:dyDescent="0.3">
      <c r="A81" s="8" t="s">
        <v>178</v>
      </c>
      <c r="B81" s="8" t="s">
        <v>179</v>
      </c>
      <c r="C81" s="8" t="s">
        <v>14</v>
      </c>
      <c r="D81" s="3">
        <v>49</v>
      </c>
      <c r="E81" s="3">
        <v>86</v>
      </c>
      <c r="F81" s="3">
        <v>40</v>
      </c>
      <c r="G81" s="3">
        <v>50</v>
      </c>
      <c r="H81" s="3">
        <v>49</v>
      </c>
      <c r="I81" s="9">
        <f t="shared" si="6"/>
        <v>274</v>
      </c>
      <c r="J81" s="10">
        <v>500</v>
      </c>
      <c r="K81" s="11">
        <f t="shared" si="7"/>
        <v>0.54800000000000004</v>
      </c>
      <c r="L81" s="12">
        <f t="shared" si="8"/>
        <v>0.45199999999999996</v>
      </c>
    </row>
    <row r="82" spans="1:12" ht="22.05" customHeight="1" x14ac:dyDescent="0.3">
      <c r="A82" s="2" t="s">
        <v>180</v>
      </c>
      <c r="B82" s="2" t="s">
        <v>181</v>
      </c>
      <c r="C82" s="2" t="s">
        <v>26</v>
      </c>
      <c r="D82" s="3">
        <v>62</v>
      </c>
      <c r="E82" s="3">
        <v>17</v>
      </c>
      <c r="F82" s="3">
        <v>63</v>
      </c>
      <c r="G82" s="3">
        <v>32</v>
      </c>
      <c r="H82" s="3">
        <v>60</v>
      </c>
      <c r="I82" s="4">
        <f t="shared" si="6"/>
        <v>234</v>
      </c>
      <c r="J82" s="5">
        <v>500</v>
      </c>
      <c r="K82" s="6">
        <f t="shared" si="7"/>
        <v>0.46800000000000003</v>
      </c>
      <c r="L82" s="7">
        <f t="shared" si="8"/>
        <v>0.53200000000000003</v>
      </c>
    </row>
    <row r="83" spans="1:12" ht="22.05" customHeight="1" x14ac:dyDescent="0.3">
      <c r="A83" s="8" t="s">
        <v>182</v>
      </c>
      <c r="B83" s="8" t="s">
        <v>183</v>
      </c>
      <c r="C83" s="8" t="s">
        <v>23</v>
      </c>
      <c r="D83" s="3">
        <v>26</v>
      </c>
      <c r="E83" s="3">
        <v>84</v>
      </c>
      <c r="F83" s="3">
        <v>61</v>
      </c>
      <c r="G83" s="3">
        <v>37</v>
      </c>
      <c r="H83" s="3">
        <v>68</v>
      </c>
      <c r="I83" s="9">
        <f t="shared" si="6"/>
        <v>276</v>
      </c>
      <c r="J83" s="10">
        <v>500</v>
      </c>
      <c r="K83" s="11">
        <f t="shared" si="7"/>
        <v>0.55200000000000005</v>
      </c>
      <c r="L83" s="12">
        <f t="shared" si="8"/>
        <v>0.44799999999999995</v>
      </c>
    </row>
    <row r="84" spans="1:12" ht="22.05" customHeight="1" x14ac:dyDescent="0.3">
      <c r="A84" s="2" t="s">
        <v>184</v>
      </c>
      <c r="B84" s="2" t="s">
        <v>185</v>
      </c>
      <c r="C84" s="2" t="s">
        <v>23</v>
      </c>
      <c r="D84" s="3">
        <v>92</v>
      </c>
      <c r="E84" s="3">
        <v>11</v>
      </c>
      <c r="F84" s="3">
        <v>70</v>
      </c>
      <c r="G84" s="3">
        <v>85</v>
      </c>
      <c r="H84" s="3">
        <v>38</v>
      </c>
      <c r="I84" s="4">
        <f t="shared" si="6"/>
        <v>296</v>
      </c>
      <c r="J84" s="5">
        <v>500</v>
      </c>
      <c r="K84" s="6">
        <f t="shared" si="7"/>
        <v>0.59199999999999997</v>
      </c>
      <c r="L84" s="7">
        <f t="shared" si="8"/>
        <v>0.40800000000000003</v>
      </c>
    </row>
    <row r="85" spans="1:12" ht="22.05" customHeight="1" x14ac:dyDescent="0.3">
      <c r="A85" s="8" t="s">
        <v>186</v>
      </c>
      <c r="B85" s="8" t="s">
        <v>187</v>
      </c>
      <c r="C85" s="8" t="s">
        <v>14</v>
      </c>
      <c r="D85" s="3">
        <v>51</v>
      </c>
      <c r="E85" s="3">
        <v>55</v>
      </c>
      <c r="F85" s="3">
        <v>65</v>
      </c>
      <c r="G85" s="3">
        <v>62</v>
      </c>
      <c r="H85" s="3">
        <v>38</v>
      </c>
      <c r="I85" s="9">
        <f t="shared" si="6"/>
        <v>271</v>
      </c>
      <c r="J85" s="10">
        <v>500</v>
      </c>
      <c r="K85" s="11">
        <f t="shared" si="7"/>
        <v>0.54200000000000004</v>
      </c>
      <c r="L85" s="12">
        <f t="shared" si="8"/>
        <v>0.45799999999999996</v>
      </c>
    </row>
    <row r="86" spans="1:12" ht="22.05" customHeight="1" x14ac:dyDescent="0.3">
      <c r="A86" s="2" t="s">
        <v>188</v>
      </c>
      <c r="B86" s="2" t="s">
        <v>189</v>
      </c>
      <c r="C86" s="2" t="s">
        <v>14</v>
      </c>
      <c r="D86" s="3">
        <v>78</v>
      </c>
      <c r="E86" s="3">
        <v>96</v>
      </c>
      <c r="F86" s="3">
        <v>20</v>
      </c>
      <c r="G86" s="3">
        <v>15</v>
      </c>
      <c r="H86" s="3">
        <v>78</v>
      </c>
      <c r="I86" s="4">
        <f t="shared" si="6"/>
        <v>287</v>
      </c>
      <c r="J86" s="5">
        <v>500</v>
      </c>
      <c r="K86" s="6">
        <f t="shared" si="7"/>
        <v>0.57399999999999995</v>
      </c>
      <c r="L86" s="7">
        <f t="shared" si="8"/>
        <v>0.42600000000000005</v>
      </c>
    </row>
    <row r="87" spans="1:12" ht="22.05" customHeight="1" x14ac:dyDescent="0.3">
      <c r="A87" s="8" t="s">
        <v>190</v>
      </c>
      <c r="B87" s="8" t="s">
        <v>191</v>
      </c>
      <c r="C87" s="8" t="s">
        <v>35</v>
      </c>
      <c r="D87" s="3">
        <v>79</v>
      </c>
      <c r="E87" s="3">
        <v>88</v>
      </c>
      <c r="F87" s="3">
        <v>64</v>
      </c>
      <c r="G87" s="3">
        <v>59</v>
      </c>
      <c r="H87" s="3">
        <v>17</v>
      </c>
      <c r="I87" s="9">
        <f t="shared" si="6"/>
        <v>307</v>
      </c>
      <c r="J87" s="10">
        <v>500</v>
      </c>
      <c r="K87" s="11">
        <f t="shared" si="7"/>
        <v>0.61399999999999999</v>
      </c>
      <c r="L87" s="12">
        <f t="shared" si="8"/>
        <v>0.38600000000000001</v>
      </c>
    </row>
    <row r="88" spans="1:12" ht="22.05" customHeight="1" x14ac:dyDescent="0.3">
      <c r="A88" s="2" t="s">
        <v>192</v>
      </c>
      <c r="B88" s="2" t="s">
        <v>193</v>
      </c>
      <c r="C88" s="2" t="s">
        <v>26</v>
      </c>
      <c r="D88" s="3">
        <v>48</v>
      </c>
      <c r="E88" s="3">
        <v>17</v>
      </c>
      <c r="F88" s="3">
        <v>76</v>
      </c>
      <c r="G88" s="3">
        <v>19</v>
      </c>
      <c r="H88" s="3">
        <v>89</v>
      </c>
      <c r="I88" s="4">
        <f t="shared" si="6"/>
        <v>249</v>
      </c>
      <c r="J88" s="5">
        <v>500</v>
      </c>
      <c r="K88" s="6">
        <f t="shared" si="7"/>
        <v>0.498</v>
      </c>
      <c r="L88" s="7">
        <f t="shared" si="8"/>
        <v>0.502</v>
      </c>
    </row>
    <row r="89" spans="1:12" ht="22.05" customHeight="1" x14ac:dyDescent="0.3">
      <c r="A89" s="8" t="s">
        <v>194</v>
      </c>
      <c r="B89" s="8" t="s">
        <v>195</v>
      </c>
      <c r="C89" s="8" t="s">
        <v>29</v>
      </c>
      <c r="D89" s="3">
        <v>49</v>
      </c>
      <c r="E89" s="3">
        <v>21</v>
      </c>
      <c r="F89" s="3">
        <v>50</v>
      </c>
      <c r="G89" s="3">
        <v>100</v>
      </c>
      <c r="H89" s="3">
        <v>90</v>
      </c>
      <c r="I89" s="9">
        <f t="shared" si="6"/>
        <v>310</v>
      </c>
      <c r="J89" s="10">
        <v>500</v>
      </c>
      <c r="K89" s="11">
        <f t="shared" si="7"/>
        <v>0.62</v>
      </c>
      <c r="L89" s="12">
        <f t="shared" si="8"/>
        <v>0.38</v>
      </c>
    </row>
    <row r="90" spans="1:12" ht="22.05" customHeight="1" x14ac:dyDescent="0.3">
      <c r="A90" s="2" t="s">
        <v>196</v>
      </c>
      <c r="B90" s="2" t="s">
        <v>197</v>
      </c>
      <c r="C90" s="2" t="s">
        <v>32</v>
      </c>
      <c r="D90" s="3">
        <v>30</v>
      </c>
      <c r="E90" s="3">
        <v>20</v>
      </c>
      <c r="F90" s="3">
        <v>90</v>
      </c>
      <c r="G90" s="3">
        <v>75</v>
      </c>
      <c r="H90" s="3">
        <v>51</v>
      </c>
      <c r="I90" s="4">
        <f t="shared" si="6"/>
        <v>266</v>
      </c>
      <c r="J90" s="5">
        <v>500</v>
      </c>
      <c r="K90" s="6">
        <f t="shared" si="7"/>
        <v>0.53200000000000003</v>
      </c>
      <c r="L90" s="7">
        <f t="shared" si="8"/>
        <v>0.46799999999999997</v>
      </c>
    </row>
    <row r="91" spans="1:12" ht="22.05" customHeight="1" x14ac:dyDescent="0.3">
      <c r="A91" s="8" t="s">
        <v>198</v>
      </c>
      <c r="B91" s="8" t="s">
        <v>199</v>
      </c>
      <c r="C91" s="8" t="s">
        <v>20</v>
      </c>
      <c r="D91" s="3">
        <v>21</v>
      </c>
      <c r="E91" s="3">
        <v>59</v>
      </c>
      <c r="F91" s="3">
        <v>53</v>
      </c>
      <c r="G91" s="3">
        <v>61</v>
      </c>
      <c r="H91" s="3">
        <v>11</v>
      </c>
      <c r="I91" s="9">
        <f t="shared" si="6"/>
        <v>205</v>
      </c>
      <c r="J91" s="10">
        <v>500</v>
      </c>
      <c r="K91" s="11">
        <f t="shared" si="7"/>
        <v>0.41</v>
      </c>
      <c r="L91" s="12">
        <f t="shared" si="8"/>
        <v>0.59000000000000008</v>
      </c>
    </row>
    <row r="92" spans="1:12" ht="22.05" customHeight="1" x14ac:dyDescent="0.3">
      <c r="A92" s="2" t="s">
        <v>200</v>
      </c>
      <c r="B92" s="2" t="s">
        <v>201</v>
      </c>
      <c r="C92" s="2" t="s">
        <v>14</v>
      </c>
      <c r="D92" s="3">
        <v>15</v>
      </c>
      <c r="E92" s="3">
        <v>53</v>
      </c>
      <c r="F92" s="3">
        <v>45</v>
      </c>
      <c r="G92" s="3">
        <v>28</v>
      </c>
      <c r="H92" s="3">
        <v>68</v>
      </c>
      <c r="I92" s="4">
        <f t="shared" si="6"/>
        <v>209</v>
      </c>
      <c r="J92" s="5">
        <v>500</v>
      </c>
      <c r="K92" s="6">
        <f t="shared" si="7"/>
        <v>0.41799999999999998</v>
      </c>
      <c r="L92" s="7">
        <f t="shared" si="8"/>
        <v>0.58200000000000007</v>
      </c>
    </row>
    <row r="93" spans="1:12" ht="22.05" customHeight="1" x14ac:dyDescent="0.3">
      <c r="A93" s="8" t="s">
        <v>202</v>
      </c>
      <c r="B93" s="8" t="s">
        <v>203</v>
      </c>
      <c r="C93" s="8" t="s">
        <v>35</v>
      </c>
      <c r="D93" s="3">
        <v>67</v>
      </c>
      <c r="E93" s="3">
        <v>25</v>
      </c>
      <c r="F93" s="3">
        <v>20</v>
      </c>
      <c r="G93" s="3">
        <v>50</v>
      </c>
      <c r="H93" s="3">
        <v>63</v>
      </c>
      <c r="I93" s="9">
        <f t="shared" si="6"/>
        <v>225</v>
      </c>
      <c r="J93" s="10">
        <v>500</v>
      </c>
      <c r="K93" s="11">
        <f t="shared" si="7"/>
        <v>0.45</v>
      </c>
      <c r="L93" s="12">
        <f t="shared" si="8"/>
        <v>0.55000000000000004</v>
      </c>
    </row>
    <row r="94" spans="1:12" ht="22.05" customHeight="1" x14ac:dyDescent="0.3">
      <c r="A94" s="2" t="s">
        <v>204</v>
      </c>
      <c r="B94" s="2" t="s">
        <v>205</v>
      </c>
      <c r="C94" s="2" t="s">
        <v>29</v>
      </c>
      <c r="D94" s="3">
        <v>17</v>
      </c>
      <c r="E94" s="3">
        <v>50</v>
      </c>
      <c r="F94" s="3">
        <v>36</v>
      </c>
      <c r="G94" s="3">
        <v>98</v>
      </c>
      <c r="H94" s="3">
        <v>69</v>
      </c>
      <c r="I94" s="4">
        <f t="shared" si="6"/>
        <v>270</v>
      </c>
      <c r="J94" s="5">
        <v>500</v>
      </c>
      <c r="K94" s="6">
        <f t="shared" si="7"/>
        <v>0.54</v>
      </c>
      <c r="L94" s="7">
        <f t="shared" si="8"/>
        <v>0.45999999999999996</v>
      </c>
    </row>
    <row r="95" spans="1:12" ht="22.05" customHeight="1" x14ac:dyDescent="0.3">
      <c r="A95" s="8" t="s">
        <v>206</v>
      </c>
      <c r="B95" s="8" t="s">
        <v>207</v>
      </c>
      <c r="C95" s="8" t="s">
        <v>23</v>
      </c>
      <c r="D95" s="3">
        <v>91</v>
      </c>
      <c r="E95" s="3">
        <v>92</v>
      </c>
      <c r="F95" s="3">
        <v>43</v>
      </c>
      <c r="G95" s="3">
        <v>34</v>
      </c>
      <c r="H95" s="3">
        <v>89</v>
      </c>
      <c r="I95" s="9">
        <f t="shared" si="6"/>
        <v>349</v>
      </c>
      <c r="J95" s="10">
        <v>500</v>
      </c>
      <c r="K95" s="11">
        <f t="shared" si="7"/>
        <v>0.69799999999999995</v>
      </c>
      <c r="L95" s="12">
        <f t="shared" si="8"/>
        <v>0.30200000000000005</v>
      </c>
    </row>
    <row r="96" spans="1:12" ht="22.05" customHeight="1" x14ac:dyDescent="0.3">
      <c r="A96" s="2" t="s">
        <v>208</v>
      </c>
      <c r="B96" s="2" t="s">
        <v>209</v>
      </c>
      <c r="C96" s="2" t="s">
        <v>17</v>
      </c>
      <c r="D96" s="3">
        <v>22</v>
      </c>
      <c r="E96" s="3">
        <v>42</v>
      </c>
      <c r="F96" s="3">
        <v>47</v>
      </c>
      <c r="G96" s="3">
        <v>29</v>
      </c>
      <c r="H96" s="3">
        <v>12</v>
      </c>
      <c r="I96" s="4">
        <f t="shared" si="6"/>
        <v>152</v>
      </c>
      <c r="J96" s="5">
        <v>500</v>
      </c>
      <c r="K96" s="6">
        <f t="shared" si="7"/>
        <v>0.30399999999999999</v>
      </c>
      <c r="L96" s="7">
        <f t="shared" si="8"/>
        <v>0.69599999999999995</v>
      </c>
    </row>
    <row r="97" spans="1:12" ht="22.05" customHeight="1" x14ac:dyDescent="0.3">
      <c r="A97" s="8" t="s">
        <v>210</v>
      </c>
      <c r="B97" s="8" t="s">
        <v>211</v>
      </c>
      <c r="C97" s="8" t="s">
        <v>29</v>
      </c>
      <c r="D97" s="3">
        <v>52</v>
      </c>
      <c r="E97" s="3">
        <v>85</v>
      </c>
      <c r="F97" s="3">
        <v>99</v>
      </c>
      <c r="G97" s="3">
        <v>58</v>
      </c>
      <c r="H97" s="3">
        <v>90</v>
      </c>
      <c r="I97" s="9">
        <f t="shared" si="6"/>
        <v>384</v>
      </c>
      <c r="J97" s="10">
        <v>500</v>
      </c>
      <c r="K97" s="11">
        <f t="shared" si="7"/>
        <v>0.76800000000000002</v>
      </c>
      <c r="L97" s="12">
        <f t="shared" si="8"/>
        <v>0.23199999999999998</v>
      </c>
    </row>
    <row r="98" spans="1:12" ht="22.05" customHeight="1" x14ac:dyDescent="0.3">
      <c r="A98" s="2" t="s">
        <v>212</v>
      </c>
      <c r="B98" s="2" t="s">
        <v>213</v>
      </c>
      <c r="C98" s="2" t="s">
        <v>35</v>
      </c>
      <c r="D98" s="3">
        <v>55</v>
      </c>
      <c r="E98" s="3">
        <v>43</v>
      </c>
      <c r="F98" s="3">
        <v>32</v>
      </c>
      <c r="G98" s="3">
        <v>77</v>
      </c>
      <c r="H98" s="3">
        <v>51</v>
      </c>
      <c r="I98" s="4">
        <f t="shared" ref="I98:I101" si="9">SUM(D98:H98)</f>
        <v>258</v>
      </c>
      <c r="J98" s="5">
        <v>500</v>
      </c>
      <c r="K98" s="6">
        <f t="shared" ref="K98:K101" si="10">I98/J98</f>
        <v>0.51600000000000001</v>
      </c>
      <c r="L98" s="7">
        <f t="shared" ref="L98:L101" si="11">1-K98</f>
        <v>0.48399999999999999</v>
      </c>
    </row>
    <row r="99" spans="1:12" ht="22.05" customHeight="1" x14ac:dyDescent="0.3">
      <c r="A99" s="8" t="s">
        <v>214</v>
      </c>
      <c r="B99" s="8" t="s">
        <v>215</v>
      </c>
      <c r="C99" s="8" t="s">
        <v>17</v>
      </c>
      <c r="D99" s="3">
        <v>43</v>
      </c>
      <c r="E99" s="3">
        <v>84</v>
      </c>
      <c r="F99" s="3">
        <v>51</v>
      </c>
      <c r="G99" s="3">
        <v>74</v>
      </c>
      <c r="H99" s="3">
        <v>85</v>
      </c>
      <c r="I99" s="9">
        <f t="shared" si="9"/>
        <v>337</v>
      </c>
      <c r="J99" s="10">
        <v>500</v>
      </c>
      <c r="K99" s="11">
        <f t="shared" si="10"/>
        <v>0.67400000000000004</v>
      </c>
      <c r="L99" s="12">
        <f t="shared" si="11"/>
        <v>0.32599999999999996</v>
      </c>
    </row>
    <row r="100" spans="1:12" ht="22.05" customHeight="1" x14ac:dyDescent="0.3">
      <c r="A100" s="2" t="s">
        <v>216</v>
      </c>
      <c r="B100" s="2" t="s">
        <v>217</v>
      </c>
      <c r="C100" s="2" t="s">
        <v>20</v>
      </c>
      <c r="D100" s="3">
        <v>24</v>
      </c>
      <c r="E100" s="3">
        <v>21</v>
      </c>
      <c r="F100" s="3">
        <v>85</v>
      </c>
      <c r="G100" s="3">
        <v>57</v>
      </c>
      <c r="H100" s="3">
        <v>52</v>
      </c>
      <c r="I100" s="4">
        <f t="shared" si="9"/>
        <v>239</v>
      </c>
      <c r="J100" s="5">
        <v>500</v>
      </c>
      <c r="K100" s="6">
        <f t="shared" si="10"/>
        <v>0.47799999999999998</v>
      </c>
      <c r="L100" s="7">
        <f t="shared" si="11"/>
        <v>0.52200000000000002</v>
      </c>
    </row>
    <row r="101" spans="1:12" ht="22.05" customHeight="1" x14ac:dyDescent="0.3">
      <c r="A101" s="8" t="s">
        <v>218</v>
      </c>
      <c r="B101" s="8" t="s">
        <v>219</v>
      </c>
      <c r="C101" s="8" t="s">
        <v>29</v>
      </c>
      <c r="D101" s="3">
        <v>77</v>
      </c>
      <c r="E101" s="3">
        <v>35</v>
      </c>
      <c r="F101" s="3">
        <v>16</v>
      </c>
      <c r="G101" s="3">
        <v>83</v>
      </c>
      <c r="H101" s="3">
        <v>59</v>
      </c>
      <c r="I101" s="9">
        <f t="shared" si="9"/>
        <v>270</v>
      </c>
      <c r="J101" s="10">
        <v>500</v>
      </c>
      <c r="K101" s="11">
        <f t="shared" si="10"/>
        <v>0.54</v>
      </c>
      <c r="L101" s="12">
        <f t="shared" si="11"/>
        <v>0.45999999999999996</v>
      </c>
    </row>
  </sheetData>
  <autoFilter ref="A1:L101" xr:uid="{00000000-0009-0000-0000-000000000000}"/>
  <conditionalFormatting sqref="K2:K101">
    <cfRule type="dataBar" priority="1">
      <dataBar>
        <cfvo type="num" val="0"/>
        <cfvo type="num" val="1"/>
        <color rgb="FF63C384"/>
      </dataBar>
    </cfRule>
    <cfRule type="cellIs" dxfId="1" priority="3" operator="greaterThanOrEqual">
      <formula>1</formula>
    </cfRule>
    <cfRule type="cellIs" dxfId="0" priority="4" operator="lessThan">
      <formula>0.5</formula>
    </cfRule>
  </conditionalFormatting>
  <conditionalFormatting sqref="L2:L101">
    <cfRule type="dataBar" priority="2">
      <dataBar>
        <cfvo type="num" val="0"/>
        <cfvo type="num" val="1"/>
        <color rgb="FFF4A6A6"/>
      </dataBar>
    </cfRule>
  </conditionalFormatting>
  <pageMargins left="0.75" right="0.75" top="1" bottom="1" header="0.5" footer="0.5"/>
  <pageSetup fitToHeight="0"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D9"/>
  <sheetViews>
    <sheetView showGridLines="0" workbookViewId="0">
      <pane ySplit="3" topLeftCell="A4" activePane="bottomLeft" state="frozen"/>
      <selection pane="bottomLeft" sqref="A1:D1"/>
    </sheetView>
  </sheetViews>
  <sheetFormatPr defaultRowHeight="14.4" x14ac:dyDescent="0.3"/>
  <cols>
    <col min="1" max="1" width="24" customWidth="1"/>
    <col min="2" max="2" width="34" customWidth="1"/>
    <col min="3" max="4" width="20" customWidth="1"/>
  </cols>
  <sheetData>
    <row r="1" spans="1:4" ht="23.4" x14ac:dyDescent="0.45">
      <c r="A1" s="20" t="s">
        <v>220</v>
      </c>
      <c r="B1" s="21"/>
      <c r="C1" s="21"/>
      <c r="D1" s="21"/>
    </row>
    <row r="2" spans="1:4" x14ac:dyDescent="0.3">
      <c r="A2" s="25" t="s">
        <v>221</v>
      </c>
      <c r="B2" s="21"/>
      <c r="C2" s="21"/>
      <c r="D2" s="21"/>
    </row>
    <row r="4" spans="1:4" ht="30" customHeight="1" x14ac:dyDescent="0.3">
      <c r="A4" s="13" t="s">
        <v>222</v>
      </c>
      <c r="B4" s="23" t="s">
        <v>223</v>
      </c>
      <c r="C4" s="24"/>
      <c r="D4" s="24"/>
    </row>
    <row r="5" spans="1:4" ht="30" customHeight="1" x14ac:dyDescent="0.3">
      <c r="A5" s="14" t="s">
        <v>8</v>
      </c>
      <c r="B5" s="22" t="s">
        <v>224</v>
      </c>
      <c r="C5" s="21"/>
      <c r="D5" s="21"/>
    </row>
    <row r="6" spans="1:4" ht="30" customHeight="1" x14ac:dyDescent="0.3">
      <c r="A6" s="13" t="s">
        <v>9</v>
      </c>
      <c r="B6" s="23" t="s">
        <v>225</v>
      </c>
      <c r="C6" s="24"/>
      <c r="D6" s="24"/>
    </row>
    <row r="7" spans="1:4" ht="30" customHeight="1" x14ac:dyDescent="0.3">
      <c r="A7" s="14" t="s">
        <v>10</v>
      </c>
      <c r="B7" s="22" t="s">
        <v>226</v>
      </c>
      <c r="C7" s="21"/>
      <c r="D7" s="21"/>
    </row>
    <row r="8" spans="1:4" ht="30" customHeight="1" x14ac:dyDescent="0.3">
      <c r="A8" s="13" t="s">
        <v>11</v>
      </c>
      <c r="B8" s="23" t="s">
        <v>227</v>
      </c>
      <c r="C8" s="24"/>
      <c r="D8" s="24"/>
    </row>
    <row r="9" spans="1:4" ht="30" customHeight="1" x14ac:dyDescent="0.3">
      <c r="A9" s="14" t="s">
        <v>228</v>
      </c>
      <c r="B9" s="22" t="s">
        <v>229</v>
      </c>
      <c r="C9" s="21"/>
      <c r="D9" s="21"/>
    </row>
  </sheetData>
  <mergeCells count="8">
    <mergeCell ref="A1:D1"/>
    <mergeCell ref="B5:D5"/>
    <mergeCell ref="B8:D8"/>
    <mergeCell ref="B4:D4"/>
    <mergeCell ref="B9:D9"/>
    <mergeCell ref="A2:D2"/>
    <mergeCell ref="B7:D7"/>
    <mergeCell ref="B6:D6"/>
  </mergeCells>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DASHBOARD</vt:lpstr>
      <vt:lpstr>ROW DATA</vt:lpstr>
      <vt:lpstr>Read Me</vt:lpstr>
      <vt:lpstr>'ROW DATA'!Print_Titles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Simran Shrivastav</cp:lastModifiedBy>
  <dcterms:created xsi:type="dcterms:W3CDTF">2026-10-26T09:07:24Z</dcterms:created>
  <dcterms:modified xsi:type="dcterms:W3CDTF">2026-10-26T11:28:16Z</dcterms:modified>
</cp:coreProperties>
</file>